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 activeTab="2"/>
  </bookViews>
  <sheets>
    <sheet name="Hoja5" sheetId="5" r:id="rId1"/>
    <sheet name="resultados" sheetId="2" r:id="rId2"/>
    <sheet name="venta" sheetId="1" r:id="rId3"/>
    <sheet name="Falta" sheetId="3" r:id="rId4"/>
    <sheet name="Propuestas" sheetId="4" r:id="rId5"/>
  </sheet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<sst xmlns="http://schemas.openxmlformats.org/spreadsheetml/2006/main" count="427" uniqueCount="29">
  <si>
    <t>año</t>
  </si>
  <si>
    <t>mes</t>
  </si>
  <si>
    <t>dia</t>
  </si>
  <si>
    <t>Monto</t>
  </si>
  <si>
    <t>Suma de Monto</t>
  </si>
  <si>
    <t>Total general</t>
  </si>
  <si>
    <t>Suma de GANANCIA</t>
  </si>
  <si>
    <t>AÑO</t>
  </si>
  <si>
    <t>GANANCIA</t>
  </si>
  <si>
    <t>(En blanco)</t>
  </si>
  <si>
    <t>fecha</t>
  </si>
  <si>
    <t>total</t>
  </si>
  <si>
    <t>manual</t>
  </si>
  <si>
    <t>CORTE</t>
  </si>
  <si>
    <t>SOBREEQUIPAJES</t>
  </si>
  <si>
    <t>dias inactivo</t>
  </si>
  <si>
    <t>Promedio</t>
  </si>
  <si>
    <t>Promedio julio24</t>
  </si>
  <si>
    <t>Promedio meta</t>
  </si>
  <si>
    <t>TOTAL MES</t>
  </si>
  <si>
    <t>TOTAL SISTEMA</t>
  </si>
  <si>
    <t>50</t>
  </si>
  <si>
    <t>enero2023</t>
  </si>
  <si>
    <t>Cotización computadora</t>
  </si>
  <si>
    <t>Cotización del carrito/kiosko</t>
  </si>
  <si>
    <t>Diseño del kiosko</t>
  </si>
  <si>
    <t>Estimar el tiempo</t>
  </si>
  <si>
    <t>pc</t>
  </si>
  <si>
    <t>ghia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</si>
</sst>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[$$-80A]#,##0.00;\-[$$-80A]#,##0.00"/>
  </numFmts>
  <fonts count="20">
    <font>
      <sz val="11"/>
      <color theme="1"/>
      <name val="Calibri"/>
      <family val="2"/>
      <charset val="0"/>
      <scheme val="minor"/>
    </font>
    <font>
      <sz val="10"/>
      <name val="Arial"/>
      <charset val="134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2" applyNumberFormat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58" fontId="1" fillId="3" borderId="0" xfId="0" applyNumberFormat="1" applyFont="1" applyFill="1" applyBorder="1" applyAlignment="1">
      <alignment horizontal="right" vertical="top"/>
    </xf>
    <xf numFmtId="0" fontId="1" fillId="3" borderId="0" xfId="0" applyFont="1" applyFill="1" applyBorder="1" applyAlignment="1">
      <alignment vertical="top"/>
    </xf>
    <xf numFmtId="4" fontId="1" fillId="3" borderId="0" xfId="0" applyNumberFormat="1" applyFont="1" applyFill="1" applyBorder="1" applyAlignment="1">
      <alignment horizontal="right" vertical="top"/>
    </xf>
    <xf numFmtId="4" fontId="0" fillId="0" borderId="0" xfId="0" applyNumberFormat="1">
      <alignment vertical="center"/>
    </xf>
    <xf numFmtId="0" fontId="0" fillId="0" borderId="0" xfId="0" applyNumberFormat="1">
      <alignment vertical="center"/>
    </xf>
    <xf numFmtId="58" fontId="1" fillId="0" borderId="0" xfId="0" applyNumberFormat="1" applyFont="1" applyFill="1" applyBorder="1" applyAlignment="1">
      <alignment horizontal="right" vertical="top"/>
    </xf>
    <xf numFmtId="0" fontId="1" fillId="0" borderId="0" xfId="0" applyFont="1" applyFill="1" applyBorder="1" applyAlignment="1">
      <alignment vertical="top"/>
    </xf>
    <xf numFmtId="4" fontId="1" fillId="0" borderId="0" xfId="0" applyNumberFormat="1" applyFont="1" applyFill="1" applyBorder="1" applyAlignment="1">
      <alignment horizontal="right" vertical="top"/>
    </xf>
    <xf numFmtId="179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" fontId="0" fillId="0" borderId="2" xfId="0" applyNumberFormat="1" applyBorder="1">
      <alignment vertical="center"/>
    </xf>
    <xf numFmtId="0" fontId="0" fillId="0" borderId="4" xfId="0" applyBorder="1">
      <alignment vertical="center"/>
    </xf>
    <xf numFmtId="4" fontId="0" fillId="0" borderId="5" xfId="0" applyNumberForma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4" fontId="0" fillId="0" borderId="7" xfId="0" applyNumberFormat="1" applyBorder="1">
      <alignment vertical="center"/>
    </xf>
    <xf numFmtId="8" fontId="0" fillId="0" borderId="8" xfId="0" applyNumberFormat="1" applyBorder="1">
      <alignment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3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 de ventas.xlsx]resultados!Tabla 
dinámica3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resultados!$B$3:$B$4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resultados!$A$5:$A$17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resultados!$B$5:$B$17</c:f>
              <c:numCache>
                <c:formatCode>[$$-80A]#,##0.00;\-[$$-80A]#,##0.00</c:formatCode>
                <c:ptCount val="12"/>
                <c:pt idx="0">
                  <c:v>30470</c:v>
                </c:pt>
                <c:pt idx="1">
                  <c:v>26550</c:v>
                </c:pt>
                <c:pt idx="2">
                  <c:v>31140</c:v>
                </c:pt>
                <c:pt idx="3">
                  <c:v>18960</c:v>
                </c:pt>
                <c:pt idx="4">
                  <c:v>9420</c:v>
                </c:pt>
                <c:pt idx="5">
                  <c:v>10370</c:v>
                </c:pt>
                <c:pt idx="6">
                  <c:v>7725</c:v>
                </c:pt>
                <c:pt idx="7">
                  <c:v>24780</c:v>
                </c:pt>
                <c:pt idx="8">
                  <c:v>22395</c:v>
                </c:pt>
                <c:pt idx="9">
                  <c:v>14145</c:v>
                </c:pt>
                <c:pt idx="10">
                  <c:v>13800</c:v>
                </c:pt>
                <c:pt idx="11">
                  <c:v>5580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8238729"/>
        <c:axId val="976323460"/>
      </c:lineChart>
      <c:catAx>
        <c:axId val="5582387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323460"/>
        <c:crosses val="autoZero"/>
        <c:auto val="1"/>
        <c:lblAlgn val="ctr"/>
        <c:lblOffset val="100"/>
        <c:noMultiLvlLbl val="0"/>
      </c:catAx>
      <c:valAx>
        <c:axId val="9763234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[$$-80A]#,##0.00;\-[$$-80A]#,##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2387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s-MX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 de ventas.xlsx]resultados!Tabla 
dinámica2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resultados!$A$31:$A$36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(En blanco)</c:v>
                </c:pt>
              </c:strCache>
            </c:strRef>
          </c:cat>
          <c:val>
            <c:numRef>
              <c:f>resultados!$B$31:$B$36</c:f>
              <c:numCache>
                <c:formatCode>#,##0.00</c:formatCode>
                <c:ptCount val="5"/>
                <c:pt idx="0">
                  <c:v>205860</c:v>
                </c:pt>
                <c:pt idx="1">
                  <c:v>233675</c:v>
                </c:pt>
                <c:pt idx="2">
                  <c:v>215335</c:v>
                </c:pt>
                <c:pt idx="3">
                  <c:v>89295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5915308"/>
        <c:axId val="140062680"/>
      </c:barChart>
      <c:catAx>
        <c:axId val="8159153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062680"/>
        <c:crosses val="autoZero"/>
        <c:auto val="1"/>
        <c:lblAlgn val="ctr"/>
        <c:lblOffset val="100"/>
        <c:noMultiLvlLbl val="0"/>
      </c:catAx>
      <c:valAx>
        <c:axId val="14006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9153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 de ventas.xlsx]resultados!Tabla 
dinámica6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resultados!$W$30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resultados!$V$31:$V$36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resultados!$W$31:$W$36</c:f>
              <c:numCache>
                <c:formatCode>#,##0.00</c:formatCode>
                <c:ptCount val="5"/>
                <c:pt idx="0">
                  <c:v>205860</c:v>
                </c:pt>
                <c:pt idx="1">
                  <c:v>233675</c:v>
                </c:pt>
                <c:pt idx="2">
                  <c:v>215335</c:v>
                </c:pt>
                <c:pt idx="3">
                  <c:v>89295</c:v>
                </c:pt>
                <c:pt idx="4">
                  <c:v>366000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627126"/>
        <c:axId val="82981964"/>
      </c:barChart>
      <c:catAx>
        <c:axId val="8646271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81964"/>
        <c:crosses val="autoZero"/>
        <c:auto val="1"/>
        <c:lblAlgn val="ctr"/>
        <c:lblOffset val="100"/>
        <c:noMultiLvlLbl val="0"/>
      </c:catAx>
      <c:valAx>
        <c:axId val="829819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46271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358775</xdr:colOff>
      <xdr:row>2</xdr:row>
      <xdr:rowOff>3175</xdr:rowOff>
    </xdr:from>
    <xdr:to>
      <xdr:col>16</xdr:col>
      <xdr:colOff>161925</xdr:colOff>
      <xdr:row>26</xdr:row>
      <xdr:rowOff>107315</xdr:rowOff>
    </xdr:to>
    <xdr:graphicFrame>
      <xdr:nvGraphicFramePr>
        <xdr:cNvPr id="1025" name="Gráfico 1"/>
        <xdr:cNvGraphicFramePr/>
      </xdr:nvGraphicFramePr>
      <xdr:xfrm>
        <a:off x="5626100" y="384175"/>
        <a:ext cx="7318375" cy="4676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26035</xdr:colOff>
      <xdr:row>28</xdr:row>
      <xdr:rowOff>186055</xdr:rowOff>
    </xdr:from>
    <xdr:to>
      <xdr:col>14</xdr:col>
      <xdr:colOff>159385</xdr:colOff>
      <xdr:row>56</xdr:row>
      <xdr:rowOff>183515</xdr:rowOff>
    </xdr:to>
    <xdr:graphicFrame>
      <xdr:nvGraphicFramePr>
        <xdr:cNvPr id="2" name="Gráfico 1"/>
        <xdr:cNvGraphicFramePr/>
      </xdr:nvGraphicFramePr>
      <xdr:xfrm>
        <a:off x="2807335" y="5520055"/>
        <a:ext cx="8791575" cy="5331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33655</xdr:colOff>
      <xdr:row>28</xdr:row>
      <xdr:rowOff>6350</xdr:rowOff>
    </xdr:from>
    <xdr:to>
      <xdr:col>26</xdr:col>
      <xdr:colOff>17780</xdr:colOff>
      <xdr:row>50</xdr:row>
      <xdr:rowOff>36195</xdr:rowOff>
    </xdr:to>
    <xdr:graphicFrame>
      <xdr:nvGraphicFramePr>
        <xdr:cNvPr id="4" name="Gráfico 3"/>
        <xdr:cNvGraphicFramePr/>
      </xdr:nvGraphicFramePr>
      <xdr:xfrm>
        <a:off x="15083155" y="5340350"/>
        <a:ext cx="4937125" cy="422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76200</xdr:colOff>
      <xdr:row>2</xdr:row>
      <xdr:rowOff>19050</xdr:rowOff>
    </xdr:from>
    <xdr:to>
      <xdr:col>5</xdr:col>
      <xdr:colOff>123825</xdr:colOff>
      <xdr:row>22</xdr:row>
      <xdr:rowOff>114300</xdr:rowOff>
    </xdr:to>
    <xdr:pic>
      <xdr:nvPicPr>
        <xdr:cNvPr id="3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00050"/>
          <a:ext cx="2486025" cy="3905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5506.6744675926" refreshedBy="aaron" recordCount="876">
  <cacheSource type="worksheet">
    <worksheetSource ref="A1:D877" sheet="venta"/>
  </cacheSource>
  <cacheFields count="4">
    <cacheField name="año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mes" numFmtId="0">
      <sharedItems containsSemiMixedTypes="0" containsString="0" containsNumber="1" containsInteger="1" minValue="1" maxValue="12" count="12">
        <n v="6"/>
        <n v="7"/>
        <n v="8"/>
        <n v="9"/>
        <n v="10"/>
        <n v="11"/>
        <n v="12"/>
        <n v="1"/>
        <n v="2"/>
        <n v="3"/>
        <n v="4"/>
        <n v="5"/>
      </sharedItems>
    </cacheField>
    <cacheField name="dia" numFmtId="0">
      <sharedItems containsSemiMixedTypes="0" containsString="0" containsNumber="1" containsInteger="1" minValue="1" maxValue="31" count="31">
        <n v="30"/>
        <n v="7"/>
        <n v="20"/>
        <n v="21"/>
        <n v="22"/>
        <n v="23"/>
        <n v="24"/>
        <n v="25"/>
        <n v="26"/>
        <n v="27"/>
        <n v="28"/>
        <n v="29"/>
        <n v="31"/>
        <n v="1"/>
        <n v="2"/>
        <n v="3"/>
        <n v="4"/>
        <n v="5"/>
        <n v="6"/>
        <n v="8"/>
        <n v="9"/>
        <n v="10"/>
        <n v="11"/>
        <n v="12"/>
        <n v="13"/>
        <n v="14"/>
        <n v="15"/>
        <n v="16"/>
        <n v="17"/>
        <n v="18"/>
        <n v="19"/>
      </sharedItems>
    </cacheField>
    <cacheField name="Monto" numFmtId="0">
      <sharedItems containsSemiMixedTypes="0" containsString="0" containsNumber="1" containsInteger="1" minValue="0" maxValue="4785" count="193">
        <n v="0"/>
        <n v="270"/>
        <n v="555"/>
        <n v="1065"/>
        <n v="1020"/>
        <n v="780"/>
        <n v="390"/>
        <n v="825"/>
        <n v="810"/>
        <n v="1050"/>
        <n v="885"/>
        <n v="660"/>
        <n v="465"/>
        <n v="1920"/>
        <n v="300"/>
        <n v="705"/>
        <n v="645"/>
        <n v="600"/>
        <n v="210"/>
        <n v="435"/>
        <n v="285"/>
        <n v="165"/>
        <n v="495"/>
        <n v="690"/>
        <n v="450"/>
        <n v="30"/>
        <n v="675"/>
        <n v="585"/>
        <n v="1290"/>
        <n v="1350"/>
        <n v="1740"/>
        <n v="855"/>
        <n v="615"/>
        <n v="945"/>
        <n v="1635"/>
        <n v="2010"/>
        <n v="1545"/>
        <n v="630"/>
        <n v="1110"/>
        <n v="1815"/>
        <n v="570"/>
        <n v="1365"/>
        <n v="1200"/>
        <n v="1800"/>
        <n v="1155"/>
        <n v="1410"/>
        <n v="2700"/>
        <n v="1185"/>
        <n v="75"/>
        <n v="1785"/>
        <n v="1560"/>
        <n v="1170"/>
        <n v="900"/>
        <n v="765"/>
        <n v="1860"/>
        <n v="1530"/>
        <n v="1725"/>
        <n v="2055"/>
        <n v="990"/>
        <n v="2130"/>
        <n v="1590"/>
        <n v="1080"/>
        <n v="2085"/>
        <n v="375"/>
        <n v="975"/>
        <n v="2835"/>
        <n v="1230"/>
        <n v="1575"/>
        <n v="3195"/>
        <n v="1980"/>
        <n v="1275"/>
        <n v="3375"/>
        <n v="2190"/>
        <n v="2430"/>
        <n v="3330"/>
        <n v="2235"/>
        <n v="2640"/>
        <n v="1140"/>
        <n v="1470"/>
        <n v="510"/>
        <n v="2280"/>
        <n v="960"/>
        <n v="1125"/>
        <n v="2685"/>
        <n v="525"/>
        <n v="2580"/>
        <n v="1005"/>
        <n v="3045"/>
        <n v="1605"/>
        <n v="2925"/>
        <n v="2475"/>
        <n v="4320"/>
        <n v="1680"/>
        <n v="1995"/>
        <n v="3150"/>
        <n v="2370"/>
        <n v="1950"/>
        <n v="1215"/>
        <n v="90"/>
        <n v="795"/>
        <n v="840"/>
        <n v="1435"/>
        <n v="930"/>
        <n v="405"/>
        <n v="420"/>
        <n v="1440"/>
        <n v="870"/>
        <n v="1260"/>
        <n v="2775"/>
        <n v="2250"/>
        <n v="750"/>
        <n v="1500"/>
        <n v="2745"/>
        <n v="1755"/>
        <n v="1910"/>
        <n v="1035"/>
        <n v="1905"/>
        <n v="2045"/>
        <n v="720"/>
        <n v="1245"/>
        <n v="695"/>
        <n v="2175"/>
        <n v="1320"/>
        <n v="350"/>
        <n v="1820"/>
        <n v="240"/>
        <n v="2460"/>
        <n v="255"/>
        <n v="410"/>
        <n v="755"/>
        <n v="2550"/>
        <n v="1620"/>
        <n v="515"/>
        <n v="1775"/>
        <n v="1395"/>
        <n v="1770"/>
        <n v="710"/>
        <n v="1485"/>
        <n v="315"/>
        <n v="195"/>
        <n v="2985"/>
        <n v="225"/>
        <n v="1665"/>
        <n v="45"/>
        <n v="135"/>
        <n v="105"/>
        <n v="1845"/>
        <n v="455"/>
        <n v="1380"/>
        <n v="1695"/>
        <n v="1455"/>
        <n v="2820"/>
        <n v="1250"/>
        <n v="950"/>
        <n v="3125"/>
        <n v="1305"/>
        <n v="1710"/>
        <n v="1425"/>
        <n v="4455"/>
        <n v="2355"/>
        <n v="2040"/>
        <n v="4500"/>
        <n v="3990"/>
        <n v="4785"/>
        <n v="2385"/>
        <n v="180"/>
        <n v="2910"/>
        <n v="915"/>
        <n v="360"/>
        <n v="2160"/>
        <n v="1190"/>
        <n v="480"/>
        <n v="3000"/>
        <n v="1935"/>
        <n v="120"/>
        <n v="345"/>
        <n v="330"/>
        <n v="3345"/>
        <n v="60"/>
        <n v="540"/>
        <n v="1335"/>
        <n v="150"/>
        <n v="2310"/>
        <n v="155"/>
        <n v="3165"/>
        <n v="735"/>
        <n v="1965"/>
        <n v="2070"/>
        <n v="15"/>
        <n v="2115"/>
        <n v="1890"/>
        <n v="3450"/>
        <n v="109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5509.4629861111" refreshedBy="aaron" recordCount="877">
  <cacheSource type="worksheet">
    <worksheetSource ref="A1:D65536" sheet="venta"/>
  </cacheSource>
  <cacheFields count="4">
    <cacheField name="año" numFmtId="0">
      <sharedItems containsString="0" containsBlank="1" containsNumber="1" containsInteger="1" minValue="2021" maxValue="2024" count="5">
        <n v="2021"/>
        <n v="2022"/>
        <n v="2023"/>
        <n v="2024"/>
        <m/>
      </sharedItems>
    </cacheField>
    <cacheField name="mes" numFmtId="0">
      <sharedItems containsString="0" containsBlank="1" containsNumber="1" containsInteger="1" minValue="1" maxValue="12" count="13">
        <n v="6"/>
        <n v="7"/>
        <n v="8"/>
        <n v="9"/>
        <n v="10"/>
        <n v="11"/>
        <n v="12"/>
        <n v="1"/>
        <n v="2"/>
        <n v="3"/>
        <n v="4"/>
        <n v="5"/>
        <m/>
      </sharedItems>
    </cacheField>
    <cacheField name="dia" numFmtId="0">
      <sharedItems containsString="0" containsBlank="1" containsNumber="1" containsInteger="1" minValue="1" maxValue="31" count="32">
        <n v="30"/>
        <n v="7"/>
        <n v="20"/>
        <n v="21"/>
        <n v="22"/>
        <n v="23"/>
        <n v="24"/>
        <n v="25"/>
        <n v="26"/>
        <n v="27"/>
        <n v="28"/>
        <n v="29"/>
        <n v="31"/>
        <n v="1"/>
        <n v="2"/>
        <n v="3"/>
        <n v="4"/>
        <n v="5"/>
        <n v="6"/>
        <n v="8"/>
        <n v="9"/>
        <n v="10"/>
        <n v="11"/>
        <n v="12"/>
        <n v="13"/>
        <n v="14"/>
        <n v="15"/>
        <n v="16"/>
        <n v="17"/>
        <n v="18"/>
        <n v="19"/>
        <m/>
      </sharedItems>
    </cacheField>
    <cacheField name="Monto" numFmtId="0">
      <sharedItems containsString="0" containsBlank="1" containsNumber="1" containsInteger="1" minValue="0" maxValue="4785" count="194">
        <n v="0"/>
        <n v="270"/>
        <n v="555"/>
        <n v="1065"/>
        <n v="1020"/>
        <n v="780"/>
        <n v="390"/>
        <n v="825"/>
        <n v="810"/>
        <n v="1050"/>
        <n v="885"/>
        <n v="660"/>
        <n v="465"/>
        <n v="1920"/>
        <n v="300"/>
        <n v="705"/>
        <n v="645"/>
        <n v="600"/>
        <n v="210"/>
        <n v="435"/>
        <n v="285"/>
        <n v="165"/>
        <n v="495"/>
        <n v="690"/>
        <n v="450"/>
        <n v="30"/>
        <n v="675"/>
        <n v="585"/>
        <n v="1290"/>
        <n v="1350"/>
        <n v="1740"/>
        <n v="855"/>
        <n v="615"/>
        <n v="945"/>
        <n v="1635"/>
        <n v="2010"/>
        <n v="1545"/>
        <n v="630"/>
        <n v="1110"/>
        <n v="1815"/>
        <n v="570"/>
        <n v="1365"/>
        <n v="1200"/>
        <n v="1800"/>
        <n v="1155"/>
        <n v="1410"/>
        <n v="2700"/>
        <n v="1185"/>
        <n v="75"/>
        <n v="1785"/>
        <n v="1560"/>
        <n v="1170"/>
        <n v="900"/>
        <n v="765"/>
        <n v="1860"/>
        <n v="1530"/>
        <n v="1725"/>
        <n v="2055"/>
        <n v="990"/>
        <n v="2130"/>
        <n v="1590"/>
        <n v="1080"/>
        <n v="2085"/>
        <n v="375"/>
        <n v="975"/>
        <n v="2835"/>
        <n v="1230"/>
        <n v="1575"/>
        <n v="3195"/>
        <n v="1980"/>
        <n v="1275"/>
        <n v="3375"/>
        <n v="2190"/>
        <n v="2430"/>
        <n v="3330"/>
        <n v="2235"/>
        <n v="2640"/>
        <n v="1140"/>
        <n v="1470"/>
        <n v="510"/>
        <n v="2280"/>
        <n v="960"/>
        <n v="1125"/>
        <n v="2685"/>
        <n v="525"/>
        <n v="2580"/>
        <n v="1005"/>
        <n v="3045"/>
        <n v="1605"/>
        <n v="2925"/>
        <n v="2475"/>
        <n v="4320"/>
        <n v="1680"/>
        <n v="1995"/>
        <n v="3150"/>
        <n v="2370"/>
        <n v="1950"/>
        <n v="1215"/>
        <n v="90"/>
        <n v="795"/>
        <n v="840"/>
        <n v="1435"/>
        <n v="930"/>
        <n v="405"/>
        <n v="420"/>
        <n v="1440"/>
        <n v="870"/>
        <n v="1260"/>
        <n v="2775"/>
        <n v="2250"/>
        <n v="750"/>
        <n v="1500"/>
        <n v="2745"/>
        <n v="1755"/>
        <n v="1910"/>
        <n v="1035"/>
        <n v="1905"/>
        <n v="2045"/>
        <n v="720"/>
        <n v="1245"/>
        <n v="695"/>
        <n v="2175"/>
        <n v="1320"/>
        <n v="350"/>
        <n v="1820"/>
        <n v="240"/>
        <n v="2460"/>
        <n v="255"/>
        <n v="410"/>
        <n v="755"/>
        <n v="2550"/>
        <n v="1620"/>
        <n v="515"/>
        <n v="1775"/>
        <n v="1395"/>
        <n v="1770"/>
        <n v="710"/>
        <n v="1485"/>
        <n v="315"/>
        <n v="195"/>
        <n v="2985"/>
        <n v="225"/>
        <n v="1665"/>
        <n v="45"/>
        <n v="135"/>
        <n v="105"/>
        <n v="1845"/>
        <n v="455"/>
        <n v="1380"/>
        <n v="1695"/>
        <n v="1455"/>
        <n v="2820"/>
        <n v="1250"/>
        <n v="950"/>
        <n v="3125"/>
        <n v="1305"/>
        <n v="1710"/>
        <n v="1425"/>
        <n v="4455"/>
        <n v="2355"/>
        <n v="2040"/>
        <n v="4500"/>
        <n v="3990"/>
        <n v="4785"/>
        <n v="2385"/>
        <n v="180"/>
        <n v="2910"/>
        <n v="915"/>
        <n v="360"/>
        <n v="2160"/>
        <n v="1190"/>
        <n v="480"/>
        <n v="3000"/>
        <n v="1935"/>
        <n v="120"/>
        <n v="345"/>
        <n v="330"/>
        <n v="3345"/>
        <n v="60"/>
        <n v="540"/>
        <n v="1335"/>
        <n v="150"/>
        <n v="2310"/>
        <n v="155"/>
        <n v="3165"/>
        <n v="735"/>
        <n v="1965"/>
        <n v="2070"/>
        <n v="15"/>
        <n v="2115"/>
        <n v="1890"/>
        <n v="3450"/>
        <n v="109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5509.5072569444" refreshedBy="aaron" recordCount="5">
  <cacheSource type="worksheet">
    <worksheetSource ref="D30:E35" sheet="resultados"/>
  </cacheSource>
  <cacheFields count="2">
    <cacheField name="AÑO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GANANCIA" numFmtId="0">
      <sharedItems containsSemiMixedTypes="0" containsString="0" containsNumber="1" containsInteger="1" minValue="89295" maxValue="366000" count="5">
        <n v="205860"/>
        <n v="233675"/>
        <n v="215335"/>
        <n v="89295"/>
        <n v="366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">
  <r>
    <x v="0"/>
    <x v="0"/>
    <x v="0"/>
    <x v="0"/>
  </r>
  <r>
    <x v="0"/>
    <x v="1"/>
    <x v="1"/>
    <x v="0"/>
  </r>
  <r>
    <x v="0"/>
    <x v="1"/>
    <x v="2"/>
    <x v="1"/>
  </r>
  <r>
    <x v="0"/>
    <x v="1"/>
    <x v="3"/>
    <x v="2"/>
  </r>
  <r>
    <x v="0"/>
    <x v="1"/>
    <x v="4"/>
    <x v="3"/>
  </r>
  <r>
    <x v="0"/>
    <x v="1"/>
    <x v="5"/>
    <x v="4"/>
  </r>
  <r>
    <x v="0"/>
    <x v="1"/>
    <x v="6"/>
    <x v="5"/>
  </r>
  <r>
    <x v="0"/>
    <x v="1"/>
    <x v="7"/>
    <x v="6"/>
  </r>
  <r>
    <x v="0"/>
    <x v="1"/>
    <x v="8"/>
    <x v="7"/>
  </r>
  <r>
    <x v="0"/>
    <x v="1"/>
    <x v="9"/>
    <x v="5"/>
  </r>
  <r>
    <x v="0"/>
    <x v="1"/>
    <x v="10"/>
    <x v="8"/>
  </r>
  <r>
    <x v="0"/>
    <x v="1"/>
    <x v="11"/>
    <x v="9"/>
  </r>
  <r>
    <x v="0"/>
    <x v="1"/>
    <x v="0"/>
    <x v="10"/>
  </r>
  <r>
    <x v="0"/>
    <x v="1"/>
    <x v="12"/>
    <x v="6"/>
  </r>
  <r>
    <x v="0"/>
    <x v="2"/>
    <x v="13"/>
    <x v="11"/>
  </r>
  <r>
    <x v="0"/>
    <x v="2"/>
    <x v="14"/>
    <x v="12"/>
  </r>
  <r>
    <x v="0"/>
    <x v="2"/>
    <x v="15"/>
    <x v="13"/>
  </r>
  <r>
    <x v="0"/>
    <x v="2"/>
    <x v="16"/>
    <x v="14"/>
  </r>
  <r>
    <x v="0"/>
    <x v="2"/>
    <x v="17"/>
    <x v="15"/>
  </r>
  <r>
    <x v="0"/>
    <x v="2"/>
    <x v="18"/>
    <x v="16"/>
  </r>
  <r>
    <x v="0"/>
    <x v="2"/>
    <x v="1"/>
    <x v="17"/>
  </r>
  <r>
    <x v="0"/>
    <x v="2"/>
    <x v="19"/>
    <x v="18"/>
  </r>
  <r>
    <x v="0"/>
    <x v="2"/>
    <x v="20"/>
    <x v="15"/>
  </r>
  <r>
    <x v="0"/>
    <x v="2"/>
    <x v="21"/>
    <x v="19"/>
  </r>
  <r>
    <x v="0"/>
    <x v="2"/>
    <x v="22"/>
    <x v="20"/>
  </r>
  <r>
    <x v="0"/>
    <x v="2"/>
    <x v="23"/>
    <x v="21"/>
  </r>
  <r>
    <x v="0"/>
    <x v="2"/>
    <x v="24"/>
    <x v="22"/>
  </r>
  <r>
    <x v="0"/>
    <x v="2"/>
    <x v="25"/>
    <x v="23"/>
  </r>
  <r>
    <x v="0"/>
    <x v="2"/>
    <x v="26"/>
    <x v="17"/>
  </r>
  <r>
    <x v="0"/>
    <x v="2"/>
    <x v="27"/>
    <x v="24"/>
  </r>
  <r>
    <x v="0"/>
    <x v="2"/>
    <x v="28"/>
    <x v="2"/>
  </r>
  <r>
    <x v="0"/>
    <x v="2"/>
    <x v="29"/>
    <x v="25"/>
  </r>
  <r>
    <x v="0"/>
    <x v="2"/>
    <x v="30"/>
    <x v="26"/>
  </r>
  <r>
    <x v="0"/>
    <x v="2"/>
    <x v="2"/>
    <x v="27"/>
  </r>
  <r>
    <x v="0"/>
    <x v="2"/>
    <x v="3"/>
    <x v="28"/>
  </r>
  <r>
    <x v="0"/>
    <x v="2"/>
    <x v="4"/>
    <x v="29"/>
  </r>
  <r>
    <x v="0"/>
    <x v="2"/>
    <x v="5"/>
    <x v="30"/>
  </r>
  <r>
    <x v="0"/>
    <x v="2"/>
    <x v="6"/>
    <x v="20"/>
  </r>
  <r>
    <x v="0"/>
    <x v="2"/>
    <x v="7"/>
    <x v="5"/>
  </r>
  <r>
    <x v="0"/>
    <x v="2"/>
    <x v="8"/>
    <x v="31"/>
  </r>
  <r>
    <x v="0"/>
    <x v="2"/>
    <x v="9"/>
    <x v="32"/>
  </r>
  <r>
    <x v="0"/>
    <x v="2"/>
    <x v="10"/>
    <x v="33"/>
  </r>
  <r>
    <x v="0"/>
    <x v="2"/>
    <x v="11"/>
    <x v="34"/>
  </r>
  <r>
    <x v="0"/>
    <x v="2"/>
    <x v="0"/>
    <x v="35"/>
  </r>
  <r>
    <x v="0"/>
    <x v="2"/>
    <x v="12"/>
    <x v="12"/>
  </r>
  <r>
    <x v="0"/>
    <x v="3"/>
    <x v="13"/>
    <x v="19"/>
  </r>
  <r>
    <x v="0"/>
    <x v="3"/>
    <x v="14"/>
    <x v="36"/>
  </r>
  <r>
    <x v="0"/>
    <x v="3"/>
    <x v="15"/>
    <x v="24"/>
  </r>
  <r>
    <x v="0"/>
    <x v="3"/>
    <x v="16"/>
    <x v="37"/>
  </r>
  <r>
    <x v="0"/>
    <x v="3"/>
    <x v="17"/>
    <x v="38"/>
  </r>
  <r>
    <x v="0"/>
    <x v="3"/>
    <x v="18"/>
    <x v="11"/>
  </r>
  <r>
    <x v="0"/>
    <x v="3"/>
    <x v="1"/>
    <x v="12"/>
  </r>
  <r>
    <x v="0"/>
    <x v="3"/>
    <x v="19"/>
    <x v="8"/>
  </r>
  <r>
    <x v="0"/>
    <x v="3"/>
    <x v="20"/>
    <x v="39"/>
  </r>
  <r>
    <x v="0"/>
    <x v="3"/>
    <x v="21"/>
    <x v="40"/>
  </r>
  <r>
    <x v="0"/>
    <x v="3"/>
    <x v="22"/>
    <x v="15"/>
  </r>
  <r>
    <x v="0"/>
    <x v="3"/>
    <x v="23"/>
    <x v="14"/>
  </r>
  <r>
    <x v="0"/>
    <x v="3"/>
    <x v="24"/>
    <x v="10"/>
  </r>
  <r>
    <x v="0"/>
    <x v="3"/>
    <x v="25"/>
    <x v="14"/>
  </r>
  <r>
    <x v="0"/>
    <x v="3"/>
    <x v="26"/>
    <x v="41"/>
  </r>
  <r>
    <x v="0"/>
    <x v="3"/>
    <x v="27"/>
    <x v="42"/>
  </r>
  <r>
    <x v="0"/>
    <x v="3"/>
    <x v="28"/>
    <x v="31"/>
  </r>
  <r>
    <x v="0"/>
    <x v="3"/>
    <x v="29"/>
    <x v="22"/>
  </r>
  <r>
    <x v="0"/>
    <x v="3"/>
    <x v="30"/>
    <x v="32"/>
  </r>
  <r>
    <x v="0"/>
    <x v="3"/>
    <x v="2"/>
    <x v="43"/>
  </r>
  <r>
    <x v="0"/>
    <x v="3"/>
    <x v="3"/>
    <x v="44"/>
  </r>
  <r>
    <x v="0"/>
    <x v="3"/>
    <x v="4"/>
    <x v="45"/>
  </r>
  <r>
    <x v="0"/>
    <x v="3"/>
    <x v="5"/>
    <x v="46"/>
  </r>
  <r>
    <x v="0"/>
    <x v="3"/>
    <x v="6"/>
    <x v="6"/>
  </r>
  <r>
    <x v="0"/>
    <x v="3"/>
    <x v="7"/>
    <x v="34"/>
  </r>
  <r>
    <x v="0"/>
    <x v="3"/>
    <x v="8"/>
    <x v="7"/>
  </r>
  <r>
    <x v="0"/>
    <x v="3"/>
    <x v="9"/>
    <x v="47"/>
  </r>
  <r>
    <x v="0"/>
    <x v="3"/>
    <x v="11"/>
    <x v="48"/>
  </r>
  <r>
    <x v="0"/>
    <x v="3"/>
    <x v="0"/>
    <x v="49"/>
  </r>
  <r>
    <x v="0"/>
    <x v="4"/>
    <x v="13"/>
    <x v="50"/>
  </r>
  <r>
    <x v="0"/>
    <x v="4"/>
    <x v="14"/>
    <x v="51"/>
  </r>
  <r>
    <x v="0"/>
    <x v="4"/>
    <x v="15"/>
    <x v="52"/>
  </r>
  <r>
    <x v="0"/>
    <x v="4"/>
    <x v="16"/>
    <x v="38"/>
  </r>
  <r>
    <x v="0"/>
    <x v="4"/>
    <x v="17"/>
    <x v="53"/>
  </r>
  <r>
    <x v="0"/>
    <x v="4"/>
    <x v="18"/>
    <x v="54"/>
  </r>
  <r>
    <x v="0"/>
    <x v="4"/>
    <x v="1"/>
    <x v="55"/>
  </r>
  <r>
    <x v="0"/>
    <x v="4"/>
    <x v="19"/>
    <x v="56"/>
  </r>
  <r>
    <x v="0"/>
    <x v="4"/>
    <x v="20"/>
    <x v="57"/>
  </r>
  <r>
    <x v="0"/>
    <x v="4"/>
    <x v="21"/>
    <x v="42"/>
  </r>
  <r>
    <x v="0"/>
    <x v="4"/>
    <x v="22"/>
    <x v="58"/>
  </r>
  <r>
    <x v="0"/>
    <x v="4"/>
    <x v="23"/>
    <x v="23"/>
  </r>
  <r>
    <x v="0"/>
    <x v="4"/>
    <x v="24"/>
    <x v="33"/>
  </r>
  <r>
    <x v="0"/>
    <x v="4"/>
    <x v="25"/>
    <x v="3"/>
  </r>
  <r>
    <x v="0"/>
    <x v="4"/>
    <x v="26"/>
    <x v="59"/>
  </r>
  <r>
    <x v="0"/>
    <x v="4"/>
    <x v="27"/>
    <x v="60"/>
  </r>
  <r>
    <x v="0"/>
    <x v="4"/>
    <x v="28"/>
    <x v="31"/>
  </r>
  <r>
    <x v="0"/>
    <x v="4"/>
    <x v="29"/>
    <x v="61"/>
  </r>
  <r>
    <x v="0"/>
    <x v="4"/>
    <x v="30"/>
    <x v="28"/>
  </r>
  <r>
    <x v="0"/>
    <x v="4"/>
    <x v="2"/>
    <x v="62"/>
  </r>
  <r>
    <x v="0"/>
    <x v="4"/>
    <x v="3"/>
    <x v="63"/>
  </r>
  <r>
    <x v="0"/>
    <x v="4"/>
    <x v="4"/>
    <x v="64"/>
  </r>
  <r>
    <x v="0"/>
    <x v="4"/>
    <x v="5"/>
    <x v="45"/>
  </r>
  <r>
    <x v="0"/>
    <x v="4"/>
    <x v="6"/>
    <x v="45"/>
  </r>
  <r>
    <x v="0"/>
    <x v="4"/>
    <x v="7"/>
    <x v="58"/>
  </r>
  <r>
    <x v="0"/>
    <x v="4"/>
    <x v="8"/>
    <x v="65"/>
  </r>
  <r>
    <x v="0"/>
    <x v="4"/>
    <x v="9"/>
    <x v="66"/>
  </r>
  <r>
    <x v="0"/>
    <x v="4"/>
    <x v="10"/>
    <x v="28"/>
  </r>
  <r>
    <x v="0"/>
    <x v="4"/>
    <x v="11"/>
    <x v="67"/>
  </r>
  <r>
    <x v="0"/>
    <x v="4"/>
    <x v="0"/>
    <x v="68"/>
  </r>
  <r>
    <x v="0"/>
    <x v="4"/>
    <x v="12"/>
    <x v="67"/>
  </r>
  <r>
    <x v="0"/>
    <x v="5"/>
    <x v="13"/>
    <x v="37"/>
  </r>
  <r>
    <x v="0"/>
    <x v="5"/>
    <x v="14"/>
    <x v="7"/>
  </r>
  <r>
    <x v="0"/>
    <x v="5"/>
    <x v="15"/>
    <x v="16"/>
  </r>
  <r>
    <x v="0"/>
    <x v="5"/>
    <x v="16"/>
    <x v="55"/>
  </r>
  <r>
    <x v="0"/>
    <x v="5"/>
    <x v="17"/>
    <x v="69"/>
  </r>
  <r>
    <x v="0"/>
    <x v="5"/>
    <x v="18"/>
    <x v="36"/>
  </r>
  <r>
    <x v="0"/>
    <x v="5"/>
    <x v="1"/>
    <x v="50"/>
  </r>
  <r>
    <x v="0"/>
    <x v="5"/>
    <x v="19"/>
    <x v="70"/>
  </r>
  <r>
    <x v="0"/>
    <x v="5"/>
    <x v="20"/>
    <x v="42"/>
  </r>
  <r>
    <x v="0"/>
    <x v="5"/>
    <x v="21"/>
    <x v="71"/>
  </r>
  <r>
    <x v="0"/>
    <x v="5"/>
    <x v="22"/>
    <x v="41"/>
  </r>
  <r>
    <x v="0"/>
    <x v="5"/>
    <x v="23"/>
    <x v="53"/>
  </r>
  <r>
    <x v="0"/>
    <x v="5"/>
    <x v="24"/>
    <x v="72"/>
  </r>
  <r>
    <x v="0"/>
    <x v="5"/>
    <x v="25"/>
    <x v="29"/>
  </r>
  <r>
    <x v="0"/>
    <x v="5"/>
    <x v="26"/>
    <x v="73"/>
  </r>
  <r>
    <x v="0"/>
    <x v="5"/>
    <x v="27"/>
    <x v="74"/>
  </r>
  <r>
    <x v="0"/>
    <x v="5"/>
    <x v="28"/>
    <x v="75"/>
  </r>
  <r>
    <x v="0"/>
    <x v="5"/>
    <x v="29"/>
    <x v="45"/>
  </r>
  <r>
    <x v="0"/>
    <x v="5"/>
    <x v="30"/>
    <x v="4"/>
  </r>
  <r>
    <x v="0"/>
    <x v="5"/>
    <x v="2"/>
    <x v="76"/>
  </r>
  <r>
    <x v="0"/>
    <x v="5"/>
    <x v="3"/>
    <x v="77"/>
  </r>
  <r>
    <x v="0"/>
    <x v="5"/>
    <x v="4"/>
    <x v="78"/>
  </r>
  <r>
    <x v="0"/>
    <x v="5"/>
    <x v="5"/>
    <x v="79"/>
  </r>
  <r>
    <x v="0"/>
    <x v="5"/>
    <x v="6"/>
    <x v="80"/>
  </r>
  <r>
    <x v="0"/>
    <x v="5"/>
    <x v="7"/>
    <x v="81"/>
  </r>
  <r>
    <x v="0"/>
    <x v="5"/>
    <x v="8"/>
    <x v="58"/>
  </r>
  <r>
    <x v="0"/>
    <x v="5"/>
    <x v="9"/>
    <x v="62"/>
  </r>
  <r>
    <x v="0"/>
    <x v="5"/>
    <x v="10"/>
    <x v="82"/>
  </r>
  <r>
    <x v="0"/>
    <x v="5"/>
    <x v="11"/>
    <x v="83"/>
  </r>
  <r>
    <x v="0"/>
    <x v="5"/>
    <x v="0"/>
    <x v="7"/>
  </r>
  <r>
    <x v="0"/>
    <x v="6"/>
    <x v="13"/>
    <x v="84"/>
  </r>
  <r>
    <x v="0"/>
    <x v="6"/>
    <x v="14"/>
    <x v="85"/>
  </r>
  <r>
    <x v="0"/>
    <x v="6"/>
    <x v="15"/>
    <x v="45"/>
  </r>
  <r>
    <x v="0"/>
    <x v="6"/>
    <x v="16"/>
    <x v="56"/>
  </r>
  <r>
    <x v="0"/>
    <x v="6"/>
    <x v="17"/>
    <x v="86"/>
  </r>
  <r>
    <x v="0"/>
    <x v="6"/>
    <x v="18"/>
    <x v="3"/>
  </r>
  <r>
    <x v="0"/>
    <x v="6"/>
    <x v="1"/>
    <x v="34"/>
  </r>
  <r>
    <x v="0"/>
    <x v="6"/>
    <x v="19"/>
    <x v="60"/>
  </r>
  <r>
    <x v="0"/>
    <x v="6"/>
    <x v="20"/>
    <x v="87"/>
  </r>
  <r>
    <x v="0"/>
    <x v="6"/>
    <x v="21"/>
    <x v="13"/>
  </r>
  <r>
    <x v="0"/>
    <x v="6"/>
    <x v="22"/>
    <x v="88"/>
  </r>
  <r>
    <x v="0"/>
    <x v="6"/>
    <x v="23"/>
    <x v="27"/>
  </r>
  <r>
    <x v="0"/>
    <x v="6"/>
    <x v="24"/>
    <x v="55"/>
  </r>
  <r>
    <x v="0"/>
    <x v="6"/>
    <x v="25"/>
    <x v="30"/>
  </r>
  <r>
    <x v="0"/>
    <x v="6"/>
    <x v="26"/>
    <x v="89"/>
  </r>
  <r>
    <x v="0"/>
    <x v="6"/>
    <x v="27"/>
    <x v="13"/>
  </r>
  <r>
    <x v="0"/>
    <x v="6"/>
    <x v="28"/>
    <x v="90"/>
  </r>
  <r>
    <x v="0"/>
    <x v="6"/>
    <x v="29"/>
    <x v="91"/>
  </r>
  <r>
    <x v="0"/>
    <x v="6"/>
    <x v="30"/>
    <x v="92"/>
  </r>
  <r>
    <x v="0"/>
    <x v="6"/>
    <x v="2"/>
    <x v="93"/>
  </r>
  <r>
    <x v="0"/>
    <x v="6"/>
    <x v="3"/>
    <x v="94"/>
  </r>
  <r>
    <x v="0"/>
    <x v="6"/>
    <x v="4"/>
    <x v="57"/>
  </r>
  <r>
    <x v="0"/>
    <x v="6"/>
    <x v="5"/>
    <x v="95"/>
  </r>
  <r>
    <x v="0"/>
    <x v="6"/>
    <x v="6"/>
    <x v="96"/>
  </r>
  <r>
    <x v="0"/>
    <x v="6"/>
    <x v="7"/>
    <x v="24"/>
  </r>
  <r>
    <x v="0"/>
    <x v="6"/>
    <x v="8"/>
    <x v="41"/>
  </r>
  <r>
    <x v="0"/>
    <x v="6"/>
    <x v="9"/>
    <x v="88"/>
  </r>
  <r>
    <x v="0"/>
    <x v="6"/>
    <x v="10"/>
    <x v="77"/>
  </r>
  <r>
    <x v="0"/>
    <x v="6"/>
    <x v="11"/>
    <x v="82"/>
  </r>
  <r>
    <x v="0"/>
    <x v="6"/>
    <x v="0"/>
    <x v="97"/>
  </r>
  <r>
    <x v="0"/>
    <x v="6"/>
    <x v="12"/>
    <x v="42"/>
  </r>
  <r>
    <x v="1"/>
    <x v="7"/>
    <x v="13"/>
    <x v="98"/>
  </r>
  <r>
    <x v="1"/>
    <x v="7"/>
    <x v="14"/>
    <x v="1"/>
  </r>
  <r>
    <x v="1"/>
    <x v="7"/>
    <x v="15"/>
    <x v="99"/>
  </r>
  <r>
    <x v="1"/>
    <x v="7"/>
    <x v="16"/>
    <x v="100"/>
  </r>
  <r>
    <x v="1"/>
    <x v="7"/>
    <x v="17"/>
    <x v="55"/>
  </r>
  <r>
    <x v="1"/>
    <x v="7"/>
    <x v="18"/>
    <x v="101"/>
  </r>
  <r>
    <x v="1"/>
    <x v="7"/>
    <x v="1"/>
    <x v="2"/>
  </r>
  <r>
    <x v="1"/>
    <x v="7"/>
    <x v="19"/>
    <x v="102"/>
  </r>
  <r>
    <x v="1"/>
    <x v="7"/>
    <x v="20"/>
    <x v="16"/>
  </r>
  <r>
    <x v="1"/>
    <x v="7"/>
    <x v="21"/>
    <x v="2"/>
  </r>
  <r>
    <x v="1"/>
    <x v="7"/>
    <x v="22"/>
    <x v="103"/>
  </r>
  <r>
    <x v="1"/>
    <x v="7"/>
    <x v="23"/>
    <x v="104"/>
  </r>
  <r>
    <x v="1"/>
    <x v="7"/>
    <x v="24"/>
    <x v="0"/>
  </r>
  <r>
    <x v="1"/>
    <x v="7"/>
    <x v="25"/>
    <x v="92"/>
  </r>
  <r>
    <x v="1"/>
    <x v="7"/>
    <x v="26"/>
    <x v="105"/>
  </r>
  <r>
    <x v="1"/>
    <x v="7"/>
    <x v="27"/>
    <x v="6"/>
  </r>
  <r>
    <x v="1"/>
    <x v="7"/>
    <x v="28"/>
    <x v="97"/>
  </r>
  <r>
    <x v="1"/>
    <x v="7"/>
    <x v="29"/>
    <x v="106"/>
  </r>
  <r>
    <x v="1"/>
    <x v="7"/>
    <x v="30"/>
    <x v="82"/>
  </r>
  <r>
    <x v="1"/>
    <x v="7"/>
    <x v="2"/>
    <x v="107"/>
  </r>
  <r>
    <x v="1"/>
    <x v="7"/>
    <x v="3"/>
    <x v="8"/>
  </r>
  <r>
    <x v="1"/>
    <x v="7"/>
    <x v="4"/>
    <x v="108"/>
  </r>
  <r>
    <x v="1"/>
    <x v="7"/>
    <x v="5"/>
    <x v="31"/>
  </r>
  <r>
    <x v="1"/>
    <x v="7"/>
    <x v="6"/>
    <x v="2"/>
  </r>
  <r>
    <x v="1"/>
    <x v="7"/>
    <x v="7"/>
    <x v="77"/>
  </r>
  <r>
    <x v="1"/>
    <x v="7"/>
    <x v="8"/>
    <x v="109"/>
  </r>
  <r>
    <x v="1"/>
    <x v="7"/>
    <x v="9"/>
    <x v="110"/>
  </r>
  <r>
    <x v="1"/>
    <x v="7"/>
    <x v="10"/>
    <x v="111"/>
  </r>
  <r>
    <x v="1"/>
    <x v="7"/>
    <x v="11"/>
    <x v="112"/>
  </r>
  <r>
    <x v="1"/>
    <x v="7"/>
    <x v="0"/>
    <x v="111"/>
  </r>
  <r>
    <x v="1"/>
    <x v="7"/>
    <x v="12"/>
    <x v="38"/>
  </r>
  <r>
    <x v="1"/>
    <x v="8"/>
    <x v="13"/>
    <x v="113"/>
  </r>
  <r>
    <x v="1"/>
    <x v="8"/>
    <x v="14"/>
    <x v="114"/>
  </r>
  <r>
    <x v="1"/>
    <x v="8"/>
    <x v="15"/>
    <x v="115"/>
  </r>
  <r>
    <x v="1"/>
    <x v="8"/>
    <x v="16"/>
    <x v="14"/>
  </r>
  <r>
    <x v="1"/>
    <x v="8"/>
    <x v="17"/>
    <x v="116"/>
  </r>
  <r>
    <x v="1"/>
    <x v="8"/>
    <x v="18"/>
    <x v="117"/>
  </r>
  <r>
    <x v="1"/>
    <x v="8"/>
    <x v="1"/>
    <x v="118"/>
  </r>
  <r>
    <x v="1"/>
    <x v="8"/>
    <x v="19"/>
    <x v="119"/>
  </r>
  <r>
    <x v="1"/>
    <x v="8"/>
    <x v="20"/>
    <x v="120"/>
  </r>
  <r>
    <x v="1"/>
    <x v="8"/>
    <x v="21"/>
    <x v="51"/>
  </r>
  <r>
    <x v="1"/>
    <x v="8"/>
    <x v="22"/>
    <x v="43"/>
  </r>
  <r>
    <x v="1"/>
    <x v="8"/>
    <x v="23"/>
    <x v="26"/>
  </r>
  <r>
    <x v="1"/>
    <x v="8"/>
    <x v="24"/>
    <x v="81"/>
  </r>
  <r>
    <x v="1"/>
    <x v="8"/>
    <x v="25"/>
    <x v="45"/>
  </r>
  <r>
    <x v="1"/>
    <x v="8"/>
    <x v="26"/>
    <x v="51"/>
  </r>
  <r>
    <x v="1"/>
    <x v="8"/>
    <x v="27"/>
    <x v="110"/>
  </r>
  <r>
    <x v="1"/>
    <x v="8"/>
    <x v="28"/>
    <x v="61"/>
  </r>
  <r>
    <x v="1"/>
    <x v="8"/>
    <x v="29"/>
    <x v="42"/>
  </r>
  <r>
    <x v="1"/>
    <x v="8"/>
    <x v="30"/>
    <x v="121"/>
  </r>
  <r>
    <x v="1"/>
    <x v="8"/>
    <x v="2"/>
    <x v="22"/>
  </r>
  <r>
    <x v="1"/>
    <x v="8"/>
    <x v="3"/>
    <x v="122"/>
  </r>
  <r>
    <x v="1"/>
    <x v="8"/>
    <x v="4"/>
    <x v="81"/>
  </r>
  <r>
    <x v="1"/>
    <x v="8"/>
    <x v="5"/>
    <x v="2"/>
  </r>
  <r>
    <x v="1"/>
    <x v="8"/>
    <x v="6"/>
    <x v="50"/>
  </r>
  <r>
    <x v="1"/>
    <x v="8"/>
    <x v="7"/>
    <x v="123"/>
  </r>
  <r>
    <x v="1"/>
    <x v="8"/>
    <x v="8"/>
    <x v="124"/>
  </r>
  <r>
    <x v="1"/>
    <x v="8"/>
    <x v="9"/>
    <x v="27"/>
  </r>
  <r>
    <x v="1"/>
    <x v="8"/>
    <x v="10"/>
    <x v="79"/>
  </r>
  <r>
    <x v="1"/>
    <x v="9"/>
    <x v="13"/>
    <x v="8"/>
  </r>
  <r>
    <x v="1"/>
    <x v="9"/>
    <x v="14"/>
    <x v="125"/>
  </r>
  <r>
    <x v="1"/>
    <x v="9"/>
    <x v="15"/>
    <x v="126"/>
  </r>
  <r>
    <x v="1"/>
    <x v="9"/>
    <x v="16"/>
    <x v="127"/>
  </r>
  <r>
    <x v="1"/>
    <x v="9"/>
    <x v="17"/>
    <x v="63"/>
  </r>
  <r>
    <x v="1"/>
    <x v="9"/>
    <x v="18"/>
    <x v="23"/>
  </r>
  <r>
    <x v="1"/>
    <x v="9"/>
    <x v="1"/>
    <x v="128"/>
  </r>
  <r>
    <x v="1"/>
    <x v="9"/>
    <x v="19"/>
    <x v="4"/>
  </r>
  <r>
    <x v="1"/>
    <x v="9"/>
    <x v="20"/>
    <x v="121"/>
  </r>
  <r>
    <x v="1"/>
    <x v="9"/>
    <x v="21"/>
    <x v="129"/>
  </r>
  <r>
    <x v="1"/>
    <x v="9"/>
    <x v="22"/>
    <x v="10"/>
  </r>
  <r>
    <x v="1"/>
    <x v="9"/>
    <x v="23"/>
    <x v="19"/>
  </r>
  <r>
    <x v="1"/>
    <x v="9"/>
    <x v="24"/>
    <x v="15"/>
  </r>
  <r>
    <x v="1"/>
    <x v="9"/>
    <x v="25"/>
    <x v="14"/>
  </r>
  <r>
    <x v="1"/>
    <x v="9"/>
    <x v="26"/>
    <x v="11"/>
  </r>
  <r>
    <x v="1"/>
    <x v="9"/>
    <x v="27"/>
    <x v="130"/>
  </r>
  <r>
    <x v="1"/>
    <x v="9"/>
    <x v="28"/>
    <x v="7"/>
  </r>
  <r>
    <x v="1"/>
    <x v="9"/>
    <x v="29"/>
    <x v="15"/>
  </r>
  <r>
    <x v="1"/>
    <x v="9"/>
    <x v="30"/>
    <x v="37"/>
  </r>
  <r>
    <x v="1"/>
    <x v="9"/>
    <x v="2"/>
    <x v="131"/>
  </r>
  <r>
    <x v="1"/>
    <x v="9"/>
    <x v="3"/>
    <x v="132"/>
  </r>
  <r>
    <x v="1"/>
    <x v="9"/>
    <x v="4"/>
    <x v="14"/>
  </r>
  <r>
    <x v="1"/>
    <x v="9"/>
    <x v="5"/>
    <x v="81"/>
  </r>
  <r>
    <x v="1"/>
    <x v="9"/>
    <x v="6"/>
    <x v="133"/>
  </r>
  <r>
    <x v="1"/>
    <x v="9"/>
    <x v="7"/>
    <x v="5"/>
  </r>
  <r>
    <x v="1"/>
    <x v="9"/>
    <x v="8"/>
    <x v="82"/>
  </r>
  <r>
    <x v="1"/>
    <x v="9"/>
    <x v="9"/>
    <x v="37"/>
  </r>
  <r>
    <x v="1"/>
    <x v="9"/>
    <x v="10"/>
    <x v="42"/>
  </r>
  <r>
    <x v="1"/>
    <x v="9"/>
    <x v="11"/>
    <x v="134"/>
  </r>
  <r>
    <x v="1"/>
    <x v="9"/>
    <x v="0"/>
    <x v="86"/>
  </r>
  <r>
    <x v="1"/>
    <x v="9"/>
    <x v="12"/>
    <x v="64"/>
  </r>
  <r>
    <x v="1"/>
    <x v="10"/>
    <x v="13"/>
    <x v="135"/>
  </r>
  <r>
    <x v="1"/>
    <x v="10"/>
    <x v="14"/>
    <x v="136"/>
  </r>
  <r>
    <x v="1"/>
    <x v="10"/>
    <x v="15"/>
    <x v="111"/>
  </r>
  <r>
    <x v="1"/>
    <x v="10"/>
    <x v="16"/>
    <x v="9"/>
  </r>
  <r>
    <x v="1"/>
    <x v="10"/>
    <x v="17"/>
    <x v="38"/>
  </r>
  <r>
    <x v="1"/>
    <x v="10"/>
    <x v="18"/>
    <x v="70"/>
  </r>
  <r>
    <x v="1"/>
    <x v="10"/>
    <x v="1"/>
    <x v="32"/>
  </r>
  <r>
    <x v="1"/>
    <x v="10"/>
    <x v="19"/>
    <x v="111"/>
  </r>
  <r>
    <x v="1"/>
    <x v="10"/>
    <x v="20"/>
    <x v="81"/>
  </r>
  <r>
    <x v="1"/>
    <x v="10"/>
    <x v="21"/>
    <x v="18"/>
  </r>
  <r>
    <x v="1"/>
    <x v="10"/>
    <x v="22"/>
    <x v="14"/>
  </r>
  <r>
    <x v="1"/>
    <x v="10"/>
    <x v="23"/>
    <x v="137"/>
  </r>
  <r>
    <x v="1"/>
    <x v="10"/>
    <x v="24"/>
    <x v="44"/>
  </r>
  <r>
    <x v="1"/>
    <x v="10"/>
    <x v="25"/>
    <x v="58"/>
  </r>
  <r>
    <x v="1"/>
    <x v="10"/>
    <x v="26"/>
    <x v="27"/>
  </r>
  <r>
    <x v="1"/>
    <x v="10"/>
    <x v="27"/>
    <x v="138"/>
  </r>
  <r>
    <x v="1"/>
    <x v="10"/>
    <x v="28"/>
    <x v="33"/>
  </r>
  <r>
    <x v="1"/>
    <x v="10"/>
    <x v="29"/>
    <x v="17"/>
  </r>
  <r>
    <x v="1"/>
    <x v="10"/>
    <x v="30"/>
    <x v="60"/>
  </r>
  <r>
    <x v="1"/>
    <x v="10"/>
    <x v="2"/>
    <x v="92"/>
  </r>
  <r>
    <x v="1"/>
    <x v="10"/>
    <x v="3"/>
    <x v="86"/>
  </r>
  <r>
    <x v="1"/>
    <x v="10"/>
    <x v="4"/>
    <x v="59"/>
  </r>
  <r>
    <x v="1"/>
    <x v="10"/>
    <x v="5"/>
    <x v="106"/>
  </r>
  <r>
    <x v="1"/>
    <x v="10"/>
    <x v="6"/>
    <x v="139"/>
  </r>
  <r>
    <x v="1"/>
    <x v="10"/>
    <x v="7"/>
    <x v="0"/>
  </r>
  <r>
    <x v="1"/>
    <x v="10"/>
    <x v="8"/>
    <x v="48"/>
  </r>
  <r>
    <x v="1"/>
    <x v="10"/>
    <x v="9"/>
    <x v="113"/>
  </r>
  <r>
    <x v="1"/>
    <x v="10"/>
    <x v="10"/>
    <x v="14"/>
  </r>
  <r>
    <x v="1"/>
    <x v="10"/>
    <x v="11"/>
    <x v="64"/>
  </r>
  <r>
    <x v="1"/>
    <x v="10"/>
    <x v="0"/>
    <x v="104"/>
  </r>
  <r>
    <x v="1"/>
    <x v="11"/>
    <x v="13"/>
    <x v="78"/>
  </r>
  <r>
    <x v="1"/>
    <x v="11"/>
    <x v="14"/>
    <x v="5"/>
  </r>
  <r>
    <x v="1"/>
    <x v="11"/>
    <x v="15"/>
    <x v="79"/>
  </r>
  <r>
    <x v="1"/>
    <x v="11"/>
    <x v="16"/>
    <x v="107"/>
  </r>
  <r>
    <x v="1"/>
    <x v="11"/>
    <x v="17"/>
    <x v="140"/>
  </r>
  <r>
    <x v="1"/>
    <x v="11"/>
    <x v="18"/>
    <x v="141"/>
  </r>
  <r>
    <x v="1"/>
    <x v="11"/>
    <x v="19"/>
    <x v="0"/>
  </r>
  <r>
    <x v="1"/>
    <x v="11"/>
    <x v="27"/>
    <x v="0"/>
  </r>
  <r>
    <x v="1"/>
    <x v="11"/>
    <x v="28"/>
    <x v="2"/>
  </r>
  <r>
    <x v="1"/>
    <x v="11"/>
    <x v="29"/>
    <x v="48"/>
  </r>
  <r>
    <x v="1"/>
    <x v="0"/>
    <x v="1"/>
    <x v="0"/>
  </r>
  <r>
    <x v="1"/>
    <x v="0"/>
    <x v="19"/>
    <x v="142"/>
  </r>
  <r>
    <x v="1"/>
    <x v="0"/>
    <x v="20"/>
    <x v="143"/>
  </r>
  <r>
    <x v="1"/>
    <x v="0"/>
    <x v="21"/>
    <x v="144"/>
  </r>
  <r>
    <x v="1"/>
    <x v="1"/>
    <x v="9"/>
    <x v="0"/>
  </r>
  <r>
    <x v="1"/>
    <x v="2"/>
    <x v="13"/>
    <x v="0"/>
  </r>
  <r>
    <x v="1"/>
    <x v="4"/>
    <x v="8"/>
    <x v="145"/>
  </r>
  <r>
    <x v="1"/>
    <x v="4"/>
    <x v="9"/>
    <x v="142"/>
  </r>
  <r>
    <x v="1"/>
    <x v="4"/>
    <x v="10"/>
    <x v="99"/>
  </r>
  <r>
    <x v="1"/>
    <x v="4"/>
    <x v="11"/>
    <x v="1"/>
  </r>
  <r>
    <x v="1"/>
    <x v="4"/>
    <x v="0"/>
    <x v="1"/>
  </r>
  <r>
    <x v="1"/>
    <x v="4"/>
    <x v="12"/>
    <x v="40"/>
  </r>
  <r>
    <x v="1"/>
    <x v="5"/>
    <x v="13"/>
    <x v="146"/>
  </r>
  <r>
    <x v="1"/>
    <x v="5"/>
    <x v="14"/>
    <x v="10"/>
  </r>
  <r>
    <x v="1"/>
    <x v="5"/>
    <x v="15"/>
    <x v="147"/>
  </r>
  <r>
    <x v="1"/>
    <x v="5"/>
    <x v="16"/>
    <x v="21"/>
  </r>
  <r>
    <x v="1"/>
    <x v="5"/>
    <x v="17"/>
    <x v="148"/>
  </r>
  <r>
    <x v="1"/>
    <x v="5"/>
    <x v="18"/>
    <x v="31"/>
  </r>
  <r>
    <x v="1"/>
    <x v="5"/>
    <x v="1"/>
    <x v="149"/>
  </r>
  <r>
    <x v="1"/>
    <x v="5"/>
    <x v="19"/>
    <x v="86"/>
  </r>
  <r>
    <x v="1"/>
    <x v="5"/>
    <x v="20"/>
    <x v="150"/>
  </r>
  <r>
    <x v="1"/>
    <x v="5"/>
    <x v="21"/>
    <x v="59"/>
  </r>
  <r>
    <x v="1"/>
    <x v="5"/>
    <x v="22"/>
    <x v="151"/>
  </r>
  <r>
    <x v="1"/>
    <x v="5"/>
    <x v="23"/>
    <x v="57"/>
  </r>
  <r>
    <x v="1"/>
    <x v="5"/>
    <x v="24"/>
    <x v="152"/>
  </r>
  <r>
    <x v="1"/>
    <x v="5"/>
    <x v="25"/>
    <x v="153"/>
  </r>
  <r>
    <x v="1"/>
    <x v="5"/>
    <x v="26"/>
    <x v="69"/>
  </r>
  <r>
    <x v="1"/>
    <x v="5"/>
    <x v="27"/>
    <x v="107"/>
  </r>
  <r>
    <x v="1"/>
    <x v="5"/>
    <x v="28"/>
    <x v="102"/>
  </r>
  <r>
    <x v="1"/>
    <x v="5"/>
    <x v="29"/>
    <x v="154"/>
  </r>
  <r>
    <x v="1"/>
    <x v="5"/>
    <x v="30"/>
    <x v="84"/>
  </r>
  <r>
    <x v="1"/>
    <x v="5"/>
    <x v="2"/>
    <x v="115"/>
  </r>
  <r>
    <x v="1"/>
    <x v="5"/>
    <x v="3"/>
    <x v="81"/>
  </r>
  <r>
    <x v="1"/>
    <x v="5"/>
    <x v="4"/>
    <x v="84"/>
  </r>
  <r>
    <x v="1"/>
    <x v="5"/>
    <x v="5"/>
    <x v="24"/>
  </r>
  <r>
    <x v="1"/>
    <x v="5"/>
    <x v="6"/>
    <x v="70"/>
  </r>
  <r>
    <x v="1"/>
    <x v="5"/>
    <x v="7"/>
    <x v="70"/>
  </r>
  <r>
    <x v="1"/>
    <x v="5"/>
    <x v="8"/>
    <x v="155"/>
  </r>
  <r>
    <x v="1"/>
    <x v="5"/>
    <x v="9"/>
    <x v="13"/>
  </r>
  <r>
    <x v="1"/>
    <x v="5"/>
    <x v="10"/>
    <x v="111"/>
  </r>
  <r>
    <x v="1"/>
    <x v="5"/>
    <x v="11"/>
    <x v="156"/>
  </r>
  <r>
    <x v="1"/>
    <x v="5"/>
    <x v="0"/>
    <x v="35"/>
  </r>
  <r>
    <x v="1"/>
    <x v="6"/>
    <x v="13"/>
    <x v="5"/>
  </r>
  <r>
    <x v="1"/>
    <x v="6"/>
    <x v="14"/>
    <x v="35"/>
  </r>
  <r>
    <x v="1"/>
    <x v="6"/>
    <x v="15"/>
    <x v="130"/>
  </r>
  <r>
    <x v="1"/>
    <x v="6"/>
    <x v="16"/>
    <x v="33"/>
  </r>
  <r>
    <x v="1"/>
    <x v="6"/>
    <x v="17"/>
    <x v="8"/>
  </r>
  <r>
    <x v="1"/>
    <x v="6"/>
    <x v="18"/>
    <x v="59"/>
  </r>
  <r>
    <x v="1"/>
    <x v="6"/>
    <x v="1"/>
    <x v="157"/>
  </r>
  <r>
    <x v="1"/>
    <x v="6"/>
    <x v="19"/>
    <x v="158"/>
  </r>
  <r>
    <x v="1"/>
    <x v="6"/>
    <x v="20"/>
    <x v="159"/>
  </r>
  <r>
    <x v="1"/>
    <x v="6"/>
    <x v="21"/>
    <x v="130"/>
  </r>
  <r>
    <x v="1"/>
    <x v="6"/>
    <x v="22"/>
    <x v="36"/>
  </r>
  <r>
    <x v="1"/>
    <x v="6"/>
    <x v="23"/>
    <x v="155"/>
  </r>
  <r>
    <x v="1"/>
    <x v="6"/>
    <x v="24"/>
    <x v="160"/>
  </r>
  <r>
    <x v="1"/>
    <x v="6"/>
    <x v="25"/>
    <x v="56"/>
  </r>
  <r>
    <x v="1"/>
    <x v="6"/>
    <x v="26"/>
    <x v="42"/>
  </r>
  <r>
    <x v="1"/>
    <x v="6"/>
    <x v="27"/>
    <x v="67"/>
  </r>
  <r>
    <x v="1"/>
    <x v="6"/>
    <x v="28"/>
    <x v="161"/>
  </r>
  <r>
    <x v="1"/>
    <x v="6"/>
    <x v="29"/>
    <x v="122"/>
  </r>
  <r>
    <x v="1"/>
    <x v="6"/>
    <x v="30"/>
    <x v="83"/>
  </r>
  <r>
    <x v="1"/>
    <x v="6"/>
    <x v="2"/>
    <x v="162"/>
  </r>
  <r>
    <x v="1"/>
    <x v="6"/>
    <x v="3"/>
    <x v="163"/>
  </r>
  <r>
    <x v="1"/>
    <x v="6"/>
    <x v="4"/>
    <x v="164"/>
  </r>
  <r>
    <x v="1"/>
    <x v="6"/>
    <x v="5"/>
    <x v="4"/>
  </r>
  <r>
    <x v="1"/>
    <x v="6"/>
    <x v="6"/>
    <x v="20"/>
  </r>
  <r>
    <x v="1"/>
    <x v="6"/>
    <x v="7"/>
    <x v="165"/>
  </r>
  <r>
    <x v="1"/>
    <x v="6"/>
    <x v="8"/>
    <x v="23"/>
  </r>
  <r>
    <x v="1"/>
    <x v="6"/>
    <x v="9"/>
    <x v="10"/>
  </r>
  <r>
    <x v="1"/>
    <x v="6"/>
    <x v="10"/>
    <x v="166"/>
  </r>
  <r>
    <x v="1"/>
    <x v="6"/>
    <x v="11"/>
    <x v="66"/>
  </r>
  <r>
    <x v="1"/>
    <x v="6"/>
    <x v="0"/>
    <x v="44"/>
  </r>
  <r>
    <x v="1"/>
    <x v="6"/>
    <x v="12"/>
    <x v="138"/>
  </r>
  <r>
    <x v="2"/>
    <x v="7"/>
    <x v="13"/>
    <x v="139"/>
  </r>
  <r>
    <x v="2"/>
    <x v="7"/>
    <x v="14"/>
    <x v="20"/>
  </r>
  <r>
    <x v="2"/>
    <x v="7"/>
    <x v="15"/>
    <x v="167"/>
  </r>
  <r>
    <x v="2"/>
    <x v="7"/>
    <x v="16"/>
    <x v="157"/>
  </r>
  <r>
    <x v="2"/>
    <x v="7"/>
    <x v="17"/>
    <x v="168"/>
  </r>
  <r>
    <x v="2"/>
    <x v="7"/>
    <x v="18"/>
    <x v="127"/>
  </r>
  <r>
    <x v="2"/>
    <x v="7"/>
    <x v="1"/>
    <x v="169"/>
  </r>
  <r>
    <x v="2"/>
    <x v="7"/>
    <x v="19"/>
    <x v="16"/>
  </r>
  <r>
    <x v="2"/>
    <x v="7"/>
    <x v="20"/>
    <x v="27"/>
  </r>
  <r>
    <x v="2"/>
    <x v="7"/>
    <x v="21"/>
    <x v="52"/>
  </r>
  <r>
    <x v="2"/>
    <x v="7"/>
    <x v="22"/>
    <x v="85"/>
  </r>
  <r>
    <x v="2"/>
    <x v="7"/>
    <x v="23"/>
    <x v="17"/>
  </r>
  <r>
    <x v="2"/>
    <x v="7"/>
    <x v="24"/>
    <x v="170"/>
  </r>
  <r>
    <x v="2"/>
    <x v="7"/>
    <x v="25"/>
    <x v="82"/>
  </r>
  <r>
    <x v="2"/>
    <x v="7"/>
    <x v="26"/>
    <x v="138"/>
  </r>
  <r>
    <x v="2"/>
    <x v="7"/>
    <x v="27"/>
    <x v="115"/>
  </r>
  <r>
    <x v="2"/>
    <x v="7"/>
    <x v="28"/>
    <x v="32"/>
  </r>
  <r>
    <x v="2"/>
    <x v="7"/>
    <x v="29"/>
    <x v="59"/>
  </r>
  <r>
    <x v="2"/>
    <x v="7"/>
    <x v="30"/>
    <x v="171"/>
  </r>
  <r>
    <x v="2"/>
    <x v="7"/>
    <x v="2"/>
    <x v="155"/>
  </r>
  <r>
    <x v="2"/>
    <x v="7"/>
    <x v="3"/>
    <x v="55"/>
  </r>
  <r>
    <x v="2"/>
    <x v="7"/>
    <x v="4"/>
    <x v="100"/>
  </r>
  <r>
    <x v="2"/>
    <x v="7"/>
    <x v="5"/>
    <x v="64"/>
  </r>
  <r>
    <x v="2"/>
    <x v="7"/>
    <x v="6"/>
    <x v="12"/>
  </r>
  <r>
    <x v="2"/>
    <x v="7"/>
    <x v="7"/>
    <x v="172"/>
  </r>
  <r>
    <x v="2"/>
    <x v="7"/>
    <x v="8"/>
    <x v="6"/>
  </r>
  <r>
    <x v="2"/>
    <x v="7"/>
    <x v="9"/>
    <x v="102"/>
  </r>
  <r>
    <x v="2"/>
    <x v="7"/>
    <x v="10"/>
    <x v="106"/>
  </r>
  <r>
    <x v="2"/>
    <x v="7"/>
    <x v="11"/>
    <x v="38"/>
  </r>
  <r>
    <x v="2"/>
    <x v="7"/>
    <x v="0"/>
    <x v="16"/>
  </r>
  <r>
    <x v="2"/>
    <x v="7"/>
    <x v="12"/>
    <x v="32"/>
  </r>
  <r>
    <x v="2"/>
    <x v="8"/>
    <x v="13"/>
    <x v="93"/>
  </r>
  <r>
    <x v="2"/>
    <x v="8"/>
    <x v="14"/>
    <x v="168"/>
  </r>
  <r>
    <x v="2"/>
    <x v="8"/>
    <x v="15"/>
    <x v="52"/>
  </r>
  <r>
    <x v="2"/>
    <x v="8"/>
    <x v="16"/>
    <x v="173"/>
  </r>
  <r>
    <x v="2"/>
    <x v="8"/>
    <x v="17"/>
    <x v="1"/>
  </r>
  <r>
    <x v="2"/>
    <x v="8"/>
    <x v="18"/>
    <x v="77"/>
  </r>
  <r>
    <x v="2"/>
    <x v="8"/>
    <x v="1"/>
    <x v="47"/>
  </r>
  <r>
    <x v="2"/>
    <x v="8"/>
    <x v="19"/>
    <x v="41"/>
  </r>
  <r>
    <x v="2"/>
    <x v="8"/>
    <x v="20"/>
    <x v="156"/>
  </r>
  <r>
    <x v="2"/>
    <x v="8"/>
    <x v="21"/>
    <x v="143"/>
  </r>
  <r>
    <x v="2"/>
    <x v="8"/>
    <x v="22"/>
    <x v="122"/>
  </r>
  <r>
    <x v="2"/>
    <x v="8"/>
    <x v="23"/>
    <x v="7"/>
  </r>
  <r>
    <x v="2"/>
    <x v="8"/>
    <x v="24"/>
    <x v="2"/>
  </r>
  <r>
    <x v="2"/>
    <x v="8"/>
    <x v="25"/>
    <x v="168"/>
  </r>
  <r>
    <x v="2"/>
    <x v="8"/>
    <x v="26"/>
    <x v="156"/>
  </r>
  <r>
    <x v="2"/>
    <x v="8"/>
    <x v="27"/>
    <x v="56"/>
  </r>
  <r>
    <x v="2"/>
    <x v="8"/>
    <x v="28"/>
    <x v="104"/>
  </r>
  <r>
    <x v="2"/>
    <x v="8"/>
    <x v="29"/>
    <x v="96"/>
  </r>
  <r>
    <x v="2"/>
    <x v="8"/>
    <x v="30"/>
    <x v="4"/>
  </r>
  <r>
    <x v="2"/>
    <x v="8"/>
    <x v="2"/>
    <x v="9"/>
  </r>
  <r>
    <x v="2"/>
    <x v="8"/>
    <x v="3"/>
    <x v="138"/>
  </r>
  <r>
    <x v="2"/>
    <x v="8"/>
    <x v="4"/>
    <x v="19"/>
  </r>
  <r>
    <x v="2"/>
    <x v="8"/>
    <x v="5"/>
    <x v="63"/>
  </r>
  <r>
    <x v="2"/>
    <x v="8"/>
    <x v="6"/>
    <x v="15"/>
  </r>
  <r>
    <x v="2"/>
    <x v="8"/>
    <x v="7"/>
    <x v="135"/>
  </r>
  <r>
    <x v="2"/>
    <x v="8"/>
    <x v="8"/>
    <x v="174"/>
  </r>
  <r>
    <x v="2"/>
    <x v="8"/>
    <x v="9"/>
    <x v="1"/>
  </r>
  <r>
    <x v="2"/>
    <x v="8"/>
    <x v="10"/>
    <x v="118"/>
  </r>
  <r>
    <x v="2"/>
    <x v="9"/>
    <x v="13"/>
    <x v="110"/>
  </r>
  <r>
    <x v="2"/>
    <x v="9"/>
    <x v="14"/>
    <x v="8"/>
  </r>
  <r>
    <x v="2"/>
    <x v="9"/>
    <x v="15"/>
    <x v="93"/>
  </r>
  <r>
    <x v="2"/>
    <x v="9"/>
    <x v="16"/>
    <x v="78"/>
  </r>
  <r>
    <x v="2"/>
    <x v="9"/>
    <x v="17"/>
    <x v="5"/>
  </r>
  <r>
    <x v="2"/>
    <x v="9"/>
    <x v="18"/>
    <x v="14"/>
  </r>
  <r>
    <x v="2"/>
    <x v="9"/>
    <x v="1"/>
    <x v="106"/>
  </r>
  <r>
    <x v="2"/>
    <x v="9"/>
    <x v="19"/>
    <x v="172"/>
  </r>
  <r>
    <x v="2"/>
    <x v="9"/>
    <x v="20"/>
    <x v="175"/>
  </r>
  <r>
    <x v="2"/>
    <x v="9"/>
    <x v="21"/>
    <x v="16"/>
  </r>
  <r>
    <x v="2"/>
    <x v="9"/>
    <x v="22"/>
    <x v="103"/>
  </r>
  <r>
    <x v="2"/>
    <x v="9"/>
    <x v="23"/>
    <x v="37"/>
  </r>
  <r>
    <x v="2"/>
    <x v="9"/>
    <x v="24"/>
    <x v="84"/>
  </r>
  <r>
    <x v="2"/>
    <x v="9"/>
    <x v="25"/>
    <x v="176"/>
  </r>
  <r>
    <x v="2"/>
    <x v="9"/>
    <x v="26"/>
    <x v="3"/>
  </r>
  <r>
    <x v="2"/>
    <x v="9"/>
    <x v="27"/>
    <x v="27"/>
  </r>
  <r>
    <x v="2"/>
    <x v="9"/>
    <x v="28"/>
    <x v="22"/>
  </r>
  <r>
    <x v="2"/>
    <x v="9"/>
    <x v="29"/>
    <x v="64"/>
  </r>
  <r>
    <x v="2"/>
    <x v="9"/>
    <x v="30"/>
    <x v="86"/>
  </r>
  <r>
    <x v="2"/>
    <x v="9"/>
    <x v="2"/>
    <x v="31"/>
  </r>
  <r>
    <x v="2"/>
    <x v="9"/>
    <x v="3"/>
    <x v="12"/>
  </r>
  <r>
    <x v="2"/>
    <x v="9"/>
    <x v="4"/>
    <x v="118"/>
  </r>
  <r>
    <x v="2"/>
    <x v="9"/>
    <x v="5"/>
    <x v="72"/>
  </r>
  <r>
    <x v="2"/>
    <x v="9"/>
    <x v="6"/>
    <x v="7"/>
  </r>
  <r>
    <x v="2"/>
    <x v="9"/>
    <x v="7"/>
    <x v="177"/>
  </r>
  <r>
    <x v="2"/>
    <x v="9"/>
    <x v="8"/>
    <x v="6"/>
  </r>
  <r>
    <x v="2"/>
    <x v="9"/>
    <x v="9"/>
    <x v="171"/>
  </r>
  <r>
    <x v="2"/>
    <x v="9"/>
    <x v="10"/>
    <x v="32"/>
  </r>
  <r>
    <x v="2"/>
    <x v="9"/>
    <x v="11"/>
    <x v="142"/>
  </r>
  <r>
    <x v="2"/>
    <x v="9"/>
    <x v="0"/>
    <x v="142"/>
  </r>
  <r>
    <x v="2"/>
    <x v="9"/>
    <x v="12"/>
    <x v="33"/>
  </r>
  <r>
    <x v="2"/>
    <x v="10"/>
    <x v="13"/>
    <x v="21"/>
  </r>
  <r>
    <x v="2"/>
    <x v="10"/>
    <x v="14"/>
    <x v="141"/>
  </r>
  <r>
    <x v="2"/>
    <x v="10"/>
    <x v="15"/>
    <x v="171"/>
  </r>
  <r>
    <x v="2"/>
    <x v="10"/>
    <x v="16"/>
    <x v="141"/>
  </r>
  <r>
    <x v="2"/>
    <x v="10"/>
    <x v="17"/>
    <x v="22"/>
  </r>
  <r>
    <x v="2"/>
    <x v="10"/>
    <x v="18"/>
    <x v="144"/>
  </r>
  <r>
    <x v="2"/>
    <x v="10"/>
    <x v="1"/>
    <x v="145"/>
  </r>
  <r>
    <x v="2"/>
    <x v="10"/>
    <x v="19"/>
    <x v="178"/>
  </r>
  <r>
    <x v="2"/>
    <x v="10"/>
    <x v="20"/>
    <x v="11"/>
  </r>
  <r>
    <x v="2"/>
    <x v="10"/>
    <x v="21"/>
    <x v="104"/>
  </r>
  <r>
    <x v="2"/>
    <x v="10"/>
    <x v="22"/>
    <x v="179"/>
  </r>
  <r>
    <x v="2"/>
    <x v="10"/>
    <x v="23"/>
    <x v="93"/>
  </r>
  <r>
    <x v="2"/>
    <x v="10"/>
    <x v="24"/>
    <x v="168"/>
  </r>
  <r>
    <x v="2"/>
    <x v="10"/>
    <x v="25"/>
    <x v="171"/>
  </r>
  <r>
    <x v="2"/>
    <x v="10"/>
    <x v="26"/>
    <x v="24"/>
  </r>
  <r>
    <x v="2"/>
    <x v="10"/>
    <x v="27"/>
    <x v="0"/>
  </r>
  <r>
    <x v="2"/>
    <x v="10"/>
    <x v="28"/>
    <x v="1"/>
  </r>
  <r>
    <x v="2"/>
    <x v="10"/>
    <x v="29"/>
    <x v="105"/>
  </r>
  <r>
    <x v="2"/>
    <x v="10"/>
    <x v="30"/>
    <x v="71"/>
  </r>
  <r>
    <x v="2"/>
    <x v="10"/>
    <x v="2"/>
    <x v="18"/>
  </r>
  <r>
    <x v="2"/>
    <x v="10"/>
    <x v="3"/>
    <x v="6"/>
  </r>
  <r>
    <x v="2"/>
    <x v="10"/>
    <x v="4"/>
    <x v="1"/>
  </r>
  <r>
    <x v="2"/>
    <x v="10"/>
    <x v="5"/>
    <x v="2"/>
  </r>
  <r>
    <x v="2"/>
    <x v="10"/>
    <x v="6"/>
    <x v="138"/>
  </r>
  <r>
    <x v="2"/>
    <x v="10"/>
    <x v="7"/>
    <x v="32"/>
  </r>
  <r>
    <x v="2"/>
    <x v="10"/>
    <x v="8"/>
    <x v="157"/>
  </r>
  <r>
    <x v="2"/>
    <x v="10"/>
    <x v="9"/>
    <x v="64"/>
  </r>
  <r>
    <x v="2"/>
    <x v="10"/>
    <x v="10"/>
    <x v="84"/>
  </r>
  <r>
    <x v="2"/>
    <x v="10"/>
    <x v="11"/>
    <x v="180"/>
  </r>
  <r>
    <x v="2"/>
    <x v="10"/>
    <x v="0"/>
    <x v="12"/>
  </r>
  <r>
    <x v="2"/>
    <x v="11"/>
    <x v="13"/>
    <x v="138"/>
  </r>
  <r>
    <x v="2"/>
    <x v="11"/>
    <x v="14"/>
    <x v="181"/>
  </r>
  <r>
    <x v="2"/>
    <x v="11"/>
    <x v="15"/>
    <x v="48"/>
  </r>
  <r>
    <x v="2"/>
    <x v="11"/>
    <x v="16"/>
    <x v="0"/>
  </r>
  <r>
    <x v="2"/>
    <x v="11"/>
    <x v="17"/>
    <x v="18"/>
  </r>
  <r>
    <x v="2"/>
    <x v="11"/>
    <x v="18"/>
    <x v="141"/>
  </r>
  <r>
    <x v="2"/>
    <x v="11"/>
    <x v="1"/>
    <x v="12"/>
  </r>
  <r>
    <x v="2"/>
    <x v="11"/>
    <x v="19"/>
    <x v="174"/>
  </r>
  <r>
    <x v="2"/>
    <x v="11"/>
    <x v="20"/>
    <x v="181"/>
  </r>
  <r>
    <x v="2"/>
    <x v="11"/>
    <x v="21"/>
    <x v="25"/>
  </r>
  <r>
    <x v="2"/>
    <x v="11"/>
    <x v="22"/>
    <x v="144"/>
  </r>
  <r>
    <x v="2"/>
    <x v="11"/>
    <x v="23"/>
    <x v="168"/>
  </r>
  <r>
    <x v="2"/>
    <x v="11"/>
    <x v="24"/>
    <x v="48"/>
  </r>
  <r>
    <x v="2"/>
    <x v="11"/>
    <x v="25"/>
    <x v="0"/>
  </r>
  <r>
    <x v="2"/>
    <x v="11"/>
    <x v="26"/>
    <x v="98"/>
  </r>
  <r>
    <x v="2"/>
    <x v="11"/>
    <x v="27"/>
    <x v="98"/>
  </r>
  <r>
    <x v="2"/>
    <x v="11"/>
    <x v="28"/>
    <x v="182"/>
  </r>
  <r>
    <x v="2"/>
    <x v="11"/>
    <x v="29"/>
    <x v="0"/>
  </r>
  <r>
    <x v="2"/>
    <x v="11"/>
    <x v="30"/>
    <x v="145"/>
  </r>
  <r>
    <x v="2"/>
    <x v="11"/>
    <x v="2"/>
    <x v="0"/>
  </r>
  <r>
    <x v="2"/>
    <x v="11"/>
    <x v="4"/>
    <x v="23"/>
  </r>
  <r>
    <x v="2"/>
    <x v="11"/>
    <x v="5"/>
    <x v="18"/>
  </r>
  <r>
    <x v="2"/>
    <x v="11"/>
    <x v="6"/>
    <x v="6"/>
  </r>
  <r>
    <x v="2"/>
    <x v="11"/>
    <x v="7"/>
    <x v="15"/>
  </r>
  <r>
    <x v="2"/>
    <x v="11"/>
    <x v="8"/>
    <x v="141"/>
  </r>
  <r>
    <x v="2"/>
    <x v="11"/>
    <x v="9"/>
    <x v="145"/>
  </r>
  <r>
    <x v="2"/>
    <x v="11"/>
    <x v="10"/>
    <x v="48"/>
  </r>
  <r>
    <x v="2"/>
    <x v="11"/>
    <x v="11"/>
    <x v="82"/>
  </r>
  <r>
    <x v="2"/>
    <x v="11"/>
    <x v="0"/>
    <x v="104"/>
  </r>
  <r>
    <x v="2"/>
    <x v="11"/>
    <x v="12"/>
    <x v="40"/>
  </r>
  <r>
    <x v="2"/>
    <x v="0"/>
    <x v="13"/>
    <x v="32"/>
  </r>
  <r>
    <x v="2"/>
    <x v="0"/>
    <x v="14"/>
    <x v="19"/>
  </r>
  <r>
    <x v="2"/>
    <x v="0"/>
    <x v="15"/>
    <x v="1"/>
  </r>
  <r>
    <x v="2"/>
    <x v="0"/>
    <x v="16"/>
    <x v="45"/>
  </r>
  <r>
    <x v="2"/>
    <x v="0"/>
    <x v="17"/>
    <x v="37"/>
  </r>
  <r>
    <x v="2"/>
    <x v="0"/>
    <x v="18"/>
    <x v="32"/>
  </r>
  <r>
    <x v="2"/>
    <x v="0"/>
    <x v="1"/>
    <x v="79"/>
  </r>
  <r>
    <x v="2"/>
    <x v="0"/>
    <x v="19"/>
    <x v="44"/>
  </r>
  <r>
    <x v="2"/>
    <x v="0"/>
    <x v="20"/>
    <x v="176"/>
  </r>
  <r>
    <x v="2"/>
    <x v="0"/>
    <x v="21"/>
    <x v="48"/>
  </r>
  <r>
    <x v="2"/>
    <x v="0"/>
    <x v="22"/>
    <x v="103"/>
  </r>
  <r>
    <x v="2"/>
    <x v="0"/>
    <x v="23"/>
    <x v="0"/>
  </r>
  <r>
    <x v="2"/>
    <x v="0"/>
    <x v="24"/>
    <x v="12"/>
  </r>
  <r>
    <x v="2"/>
    <x v="0"/>
    <x v="25"/>
    <x v="139"/>
  </r>
  <r>
    <x v="2"/>
    <x v="0"/>
    <x v="26"/>
    <x v="183"/>
  </r>
  <r>
    <x v="2"/>
    <x v="0"/>
    <x v="27"/>
    <x v="110"/>
  </r>
  <r>
    <x v="2"/>
    <x v="0"/>
    <x v="28"/>
    <x v="178"/>
  </r>
  <r>
    <x v="2"/>
    <x v="0"/>
    <x v="29"/>
    <x v="181"/>
  </r>
  <r>
    <x v="2"/>
    <x v="0"/>
    <x v="30"/>
    <x v="127"/>
  </r>
  <r>
    <x v="2"/>
    <x v="0"/>
    <x v="2"/>
    <x v="0"/>
  </r>
  <r>
    <x v="2"/>
    <x v="0"/>
    <x v="3"/>
    <x v="98"/>
  </r>
  <r>
    <x v="2"/>
    <x v="0"/>
    <x v="4"/>
    <x v="181"/>
  </r>
  <r>
    <x v="2"/>
    <x v="0"/>
    <x v="5"/>
    <x v="168"/>
  </r>
  <r>
    <x v="2"/>
    <x v="0"/>
    <x v="6"/>
    <x v="127"/>
  </r>
  <r>
    <x v="2"/>
    <x v="0"/>
    <x v="7"/>
    <x v="63"/>
  </r>
  <r>
    <x v="2"/>
    <x v="0"/>
    <x v="8"/>
    <x v="19"/>
  </r>
  <r>
    <x v="2"/>
    <x v="0"/>
    <x v="9"/>
    <x v="178"/>
  </r>
  <r>
    <x v="2"/>
    <x v="0"/>
    <x v="10"/>
    <x v="0"/>
  </r>
  <r>
    <x v="2"/>
    <x v="0"/>
    <x v="11"/>
    <x v="143"/>
  </r>
  <r>
    <x v="2"/>
    <x v="0"/>
    <x v="0"/>
    <x v="174"/>
  </r>
  <r>
    <x v="2"/>
    <x v="1"/>
    <x v="13"/>
    <x v="176"/>
  </r>
  <r>
    <x v="2"/>
    <x v="1"/>
    <x v="14"/>
    <x v="141"/>
  </r>
  <r>
    <x v="2"/>
    <x v="1"/>
    <x v="15"/>
    <x v="144"/>
  </r>
  <r>
    <x v="2"/>
    <x v="1"/>
    <x v="16"/>
    <x v="10"/>
  </r>
  <r>
    <x v="2"/>
    <x v="1"/>
    <x v="17"/>
    <x v="125"/>
  </r>
  <r>
    <x v="2"/>
    <x v="1"/>
    <x v="18"/>
    <x v="42"/>
  </r>
  <r>
    <x v="2"/>
    <x v="1"/>
    <x v="1"/>
    <x v="1"/>
  </r>
  <r>
    <x v="2"/>
    <x v="1"/>
    <x v="19"/>
    <x v="0"/>
  </r>
  <r>
    <x v="2"/>
    <x v="1"/>
    <x v="21"/>
    <x v="178"/>
  </r>
  <r>
    <x v="2"/>
    <x v="1"/>
    <x v="22"/>
    <x v="127"/>
  </r>
  <r>
    <x v="2"/>
    <x v="1"/>
    <x v="23"/>
    <x v="16"/>
  </r>
  <r>
    <x v="2"/>
    <x v="1"/>
    <x v="24"/>
    <x v="18"/>
  </r>
  <r>
    <x v="2"/>
    <x v="1"/>
    <x v="25"/>
    <x v="175"/>
  </r>
  <r>
    <x v="2"/>
    <x v="1"/>
    <x v="26"/>
    <x v="171"/>
  </r>
  <r>
    <x v="2"/>
    <x v="1"/>
    <x v="27"/>
    <x v="0"/>
  </r>
  <r>
    <x v="2"/>
    <x v="1"/>
    <x v="28"/>
    <x v="25"/>
  </r>
  <r>
    <x v="2"/>
    <x v="1"/>
    <x v="29"/>
    <x v="104"/>
  </r>
  <r>
    <x v="2"/>
    <x v="1"/>
    <x v="30"/>
    <x v="98"/>
  </r>
  <r>
    <x v="2"/>
    <x v="1"/>
    <x v="2"/>
    <x v="139"/>
  </r>
  <r>
    <x v="2"/>
    <x v="1"/>
    <x v="3"/>
    <x v="19"/>
  </r>
  <r>
    <x v="2"/>
    <x v="1"/>
    <x v="4"/>
    <x v="48"/>
  </r>
  <r>
    <x v="2"/>
    <x v="1"/>
    <x v="5"/>
    <x v="0"/>
  </r>
  <r>
    <x v="2"/>
    <x v="1"/>
    <x v="6"/>
    <x v="0"/>
  </r>
  <r>
    <x v="2"/>
    <x v="1"/>
    <x v="7"/>
    <x v="0"/>
  </r>
  <r>
    <x v="2"/>
    <x v="1"/>
    <x v="8"/>
    <x v="178"/>
  </r>
  <r>
    <x v="2"/>
    <x v="1"/>
    <x v="9"/>
    <x v="98"/>
  </r>
  <r>
    <x v="2"/>
    <x v="1"/>
    <x v="10"/>
    <x v="127"/>
  </r>
  <r>
    <x v="2"/>
    <x v="1"/>
    <x v="11"/>
    <x v="27"/>
  </r>
  <r>
    <x v="2"/>
    <x v="1"/>
    <x v="0"/>
    <x v="143"/>
  </r>
  <r>
    <x v="2"/>
    <x v="1"/>
    <x v="12"/>
    <x v="21"/>
  </r>
  <r>
    <x v="2"/>
    <x v="2"/>
    <x v="13"/>
    <x v="138"/>
  </r>
  <r>
    <x v="2"/>
    <x v="2"/>
    <x v="14"/>
    <x v="44"/>
  </r>
  <r>
    <x v="2"/>
    <x v="2"/>
    <x v="15"/>
    <x v="141"/>
  </r>
  <r>
    <x v="2"/>
    <x v="2"/>
    <x v="16"/>
    <x v="184"/>
  </r>
  <r>
    <x v="2"/>
    <x v="2"/>
    <x v="17"/>
    <x v="175"/>
  </r>
  <r>
    <x v="2"/>
    <x v="2"/>
    <x v="18"/>
    <x v="0"/>
  </r>
  <r>
    <x v="2"/>
    <x v="2"/>
    <x v="1"/>
    <x v="25"/>
  </r>
  <r>
    <x v="2"/>
    <x v="2"/>
    <x v="19"/>
    <x v="14"/>
  </r>
  <r>
    <x v="2"/>
    <x v="2"/>
    <x v="20"/>
    <x v="6"/>
  </r>
  <r>
    <x v="2"/>
    <x v="2"/>
    <x v="21"/>
    <x v="104"/>
  </r>
  <r>
    <x v="2"/>
    <x v="2"/>
    <x v="22"/>
    <x v="181"/>
  </r>
  <r>
    <x v="2"/>
    <x v="2"/>
    <x v="23"/>
    <x v="111"/>
  </r>
  <r>
    <x v="2"/>
    <x v="2"/>
    <x v="24"/>
    <x v="157"/>
  </r>
  <r>
    <x v="2"/>
    <x v="2"/>
    <x v="25"/>
    <x v="148"/>
  </r>
  <r>
    <x v="2"/>
    <x v="2"/>
    <x v="26"/>
    <x v="45"/>
  </r>
  <r>
    <x v="2"/>
    <x v="2"/>
    <x v="27"/>
    <x v="31"/>
  </r>
  <r>
    <x v="2"/>
    <x v="2"/>
    <x v="28"/>
    <x v="146"/>
  </r>
  <r>
    <x v="2"/>
    <x v="2"/>
    <x v="29"/>
    <x v="55"/>
  </r>
  <r>
    <x v="2"/>
    <x v="2"/>
    <x v="30"/>
    <x v="23"/>
  </r>
  <r>
    <x v="2"/>
    <x v="2"/>
    <x v="2"/>
    <x v="118"/>
  </r>
  <r>
    <x v="2"/>
    <x v="2"/>
    <x v="3"/>
    <x v="103"/>
  </r>
  <r>
    <x v="2"/>
    <x v="2"/>
    <x v="4"/>
    <x v="78"/>
  </r>
  <r>
    <x v="2"/>
    <x v="2"/>
    <x v="5"/>
    <x v="141"/>
  </r>
  <r>
    <x v="2"/>
    <x v="2"/>
    <x v="6"/>
    <x v="185"/>
  </r>
  <r>
    <x v="2"/>
    <x v="2"/>
    <x v="7"/>
    <x v="171"/>
  </r>
  <r>
    <x v="2"/>
    <x v="2"/>
    <x v="8"/>
    <x v="104"/>
  </r>
  <r>
    <x v="2"/>
    <x v="2"/>
    <x v="9"/>
    <x v="16"/>
  </r>
  <r>
    <x v="2"/>
    <x v="2"/>
    <x v="10"/>
    <x v="138"/>
  </r>
  <r>
    <x v="2"/>
    <x v="2"/>
    <x v="11"/>
    <x v="48"/>
  </r>
  <r>
    <x v="2"/>
    <x v="2"/>
    <x v="0"/>
    <x v="8"/>
  </r>
  <r>
    <x v="2"/>
    <x v="2"/>
    <x v="12"/>
    <x v="29"/>
  </r>
  <r>
    <x v="2"/>
    <x v="3"/>
    <x v="13"/>
    <x v="12"/>
  </r>
  <r>
    <x v="2"/>
    <x v="3"/>
    <x v="14"/>
    <x v="16"/>
  </r>
  <r>
    <x v="2"/>
    <x v="3"/>
    <x v="15"/>
    <x v="103"/>
  </r>
  <r>
    <x v="2"/>
    <x v="3"/>
    <x v="16"/>
    <x v="98"/>
  </r>
  <r>
    <x v="2"/>
    <x v="3"/>
    <x v="17"/>
    <x v="110"/>
  </r>
  <r>
    <x v="2"/>
    <x v="3"/>
    <x v="18"/>
    <x v="12"/>
  </r>
  <r>
    <x v="2"/>
    <x v="3"/>
    <x v="1"/>
    <x v="125"/>
  </r>
  <r>
    <x v="2"/>
    <x v="3"/>
    <x v="19"/>
    <x v="171"/>
  </r>
  <r>
    <x v="2"/>
    <x v="3"/>
    <x v="20"/>
    <x v="18"/>
  </r>
  <r>
    <x v="2"/>
    <x v="3"/>
    <x v="21"/>
    <x v="155"/>
  </r>
  <r>
    <x v="2"/>
    <x v="3"/>
    <x v="22"/>
    <x v="186"/>
  </r>
  <r>
    <x v="2"/>
    <x v="3"/>
    <x v="23"/>
    <x v="167"/>
  </r>
  <r>
    <x v="2"/>
    <x v="3"/>
    <x v="24"/>
    <x v="32"/>
  </r>
  <r>
    <x v="2"/>
    <x v="3"/>
    <x v="25"/>
    <x v="2"/>
  </r>
  <r>
    <x v="2"/>
    <x v="3"/>
    <x v="26"/>
    <x v="185"/>
  </r>
  <r>
    <x v="2"/>
    <x v="3"/>
    <x v="27"/>
    <x v="48"/>
  </r>
  <r>
    <x v="2"/>
    <x v="3"/>
    <x v="28"/>
    <x v="167"/>
  </r>
  <r>
    <x v="2"/>
    <x v="3"/>
    <x v="29"/>
    <x v="58"/>
  </r>
  <r>
    <x v="2"/>
    <x v="3"/>
    <x v="30"/>
    <x v="38"/>
  </r>
  <r>
    <x v="2"/>
    <x v="3"/>
    <x v="2"/>
    <x v="52"/>
  </r>
  <r>
    <x v="2"/>
    <x v="3"/>
    <x v="3"/>
    <x v="84"/>
  </r>
  <r>
    <x v="2"/>
    <x v="3"/>
    <x v="4"/>
    <x v="176"/>
  </r>
  <r>
    <x v="2"/>
    <x v="3"/>
    <x v="5"/>
    <x v="96"/>
  </r>
  <r>
    <x v="2"/>
    <x v="3"/>
    <x v="6"/>
    <x v="26"/>
  </r>
  <r>
    <x v="2"/>
    <x v="3"/>
    <x v="7"/>
    <x v="19"/>
  </r>
  <r>
    <x v="2"/>
    <x v="3"/>
    <x v="8"/>
    <x v="41"/>
  </r>
  <r>
    <x v="2"/>
    <x v="3"/>
    <x v="9"/>
    <x v="37"/>
  </r>
  <r>
    <x v="2"/>
    <x v="3"/>
    <x v="10"/>
    <x v="61"/>
  </r>
  <r>
    <x v="2"/>
    <x v="3"/>
    <x v="11"/>
    <x v="52"/>
  </r>
  <r>
    <x v="2"/>
    <x v="3"/>
    <x v="0"/>
    <x v="26"/>
  </r>
  <r>
    <x v="2"/>
    <x v="4"/>
    <x v="13"/>
    <x v="139"/>
  </r>
  <r>
    <x v="2"/>
    <x v="4"/>
    <x v="14"/>
    <x v="20"/>
  </r>
  <r>
    <x v="2"/>
    <x v="4"/>
    <x v="15"/>
    <x v="98"/>
  </r>
  <r>
    <x v="2"/>
    <x v="4"/>
    <x v="16"/>
    <x v="99"/>
  </r>
  <r>
    <x v="2"/>
    <x v="4"/>
    <x v="17"/>
    <x v="125"/>
  </r>
  <r>
    <x v="2"/>
    <x v="4"/>
    <x v="18"/>
    <x v="27"/>
  </r>
  <r>
    <x v="2"/>
    <x v="4"/>
    <x v="1"/>
    <x v="176"/>
  </r>
  <r>
    <x v="2"/>
    <x v="4"/>
    <x v="20"/>
    <x v="176"/>
  </r>
  <r>
    <x v="2"/>
    <x v="4"/>
    <x v="21"/>
    <x v="34"/>
  </r>
  <r>
    <x v="2"/>
    <x v="4"/>
    <x v="22"/>
    <x v="17"/>
  </r>
  <r>
    <x v="2"/>
    <x v="4"/>
    <x v="23"/>
    <x v="103"/>
  </r>
  <r>
    <x v="2"/>
    <x v="4"/>
    <x v="24"/>
    <x v="144"/>
  </r>
  <r>
    <x v="2"/>
    <x v="4"/>
    <x v="25"/>
    <x v="0"/>
  </r>
  <r>
    <x v="2"/>
    <x v="4"/>
    <x v="26"/>
    <x v="178"/>
  </r>
  <r>
    <x v="2"/>
    <x v="4"/>
    <x v="27"/>
    <x v="25"/>
  </r>
  <r>
    <x v="2"/>
    <x v="4"/>
    <x v="28"/>
    <x v="22"/>
  </r>
  <r>
    <x v="2"/>
    <x v="4"/>
    <x v="29"/>
    <x v="187"/>
  </r>
  <r>
    <x v="2"/>
    <x v="4"/>
    <x v="30"/>
    <x v="185"/>
  </r>
  <r>
    <x v="2"/>
    <x v="4"/>
    <x v="2"/>
    <x v="100"/>
  </r>
  <r>
    <x v="2"/>
    <x v="4"/>
    <x v="3"/>
    <x v="8"/>
  </r>
  <r>
    <x v="2"/>
    <x v="4"/>
    <x v="4"/>
    <x v="179"/>
  </r>
  <r>
    <x v="2"/>
    <x v="4"/>
    <x v="5"/>
    <x v="138"/>
  </r>
  <r>
    <x v="2"/>
    <x v="4"/>
    <x v="6"/>
    <x v="24"/>
  </r>
  <r>
    <x v="2"/>
    <x v="4"/>
    <x v="7"/>
    <x v="98"/>
  </r>
  <r>
    <x v="2"/>
    <x v="4"/>
    <x v="8"/>
    <x v="127"/>
  </r>
  <r>
    <x v="2"/>
    <x v="4"/>
    <x v="9"/>
    <x v="171"/>
  </r>
  <r>
    <x v="2"/>
    <x v="4"/>
    <x v="10"/>
    <x v="141"/>
  </r>
  <r>
    <x v="2"/>
    <x v="4"/>
    <x v="11"/>
    <x v="144"/>
  </r>
  <r>
    <x v="2"/>
    <x v="4"/>
    <x v="0"/>
    <x v="110"/>
  </r>
  <r>
    <x v="2"/>
    <x v="4"/>
    <x v="12"/>
    <x v="125"/>
  </r>
  <r>
    <x v="2"/>
    <x v="5"/>
    <x v="13"/>
    <x v="25"/>
  </r>
  <r>
    <x v="2"/>
    <x v="5"/>
    <x v="14"/>
    <x v="141"/>
  </r>
  <r>
    <x v="2"/>
    <x v="5"/>
    <x v="15"/>
    <x v="139"/>
  </r>
  <r>
    <x v="2"/>
    <x v="5"/>
    <x v="16"/>
    <x v="48"/>
  </r>
  <r>
    <x v="2"/>
    <x v="5"/>
    <x v="17"/>
    <x v="1"/>
  </r>
  <r>
    <x v="2"/>
    <x v="5"/>
    <x v="18"/>
    <x v="0"/>
  </r>
  <r>
    <x v="2"/>
    <x v="5"/>
    <x v="1"/>
    <x v="138"/>
  </r>
  <r>
    <x v="2"/>
    <x v="5"/>
    <x v="19"/>
    <x v="165"/>
  </r>
  <r>
    <x v="2"/>
    <x v="5"/>
    <x v="20"/>
    <x v="12"/>
  </r>
  <r>
    <x v="2"/>
    <x v="5"/>
    <x v="21"/>
    <x v="24"/>
  </r>
  <r>
    <x v="2"/>
    <x v="5"/>
    <x v="22"/>
    <x v="127"/>
  </r>
  <r>
    <x v="2"/>
    <x v="5"/>
    <x v="23"/>
    <x v="168"/>
  </r>
  <r>
    <x v="2"/>
    <x v="5"/>
    <x v="24"/>
    <x v="9"/>
  </r>
  <r>
    <x v="2"/>
    <x v="5"/>
    <x v="25"/>
    <x v="106"/>
  </r>
  <r>
    <x v="2"/>
    <x v="5"/>
    <x v="26"/>
    <x v="176"/>
  </r>
  <r>
    <x v="2"/>
    <x v="5"/>
    <x v="27"/>
    <x v="16"/>
  </r>
  <r>
    <x v="2"/>
    <x v="5"/>
    <x v="28"/>
    <x v="79"/>
  </r>
  <r>
    <x v="2"/>
    <x v="5"/>
    <x v="29"/>
    <x v="24"/>
  </r>
  <r>
    <x v="2"/>
    <x v="5"/>
    <x v="30"/>
    <x v="174"/>
  </r>
  <r>
    <x v="2"/>
    <x v="5"/>
    <x v="2"/>
    <x v="86"/>
  </r>
  <r>
    <x v="2"/>
    <x v="5"/>
    <x v="3"/>
    <x v="181"/>
  </r>
  <r>
    <x v="2"/>
    <x v="5"/>
    <x v="4"/>
    <x v="53"/>
  </r>
  <r>
    <x v="2"/>
    <x v="5"/>
    <x v="5"/>
    <x v="4"/>
  </r>
  <r>
    <x v="2"/>
    <x v="5"/>
    <x v="6"/>
    <x v="60"/>
  </r>
  <r>
    <x v="2"/>
    <x v="5"/>
    <x v="7"/>
    <x v="110"/>
  </r>
  <r>
    <x v="2"/>
    <x v="5"/>
    <x v="8"/>
    <x v="32"/>
  </r>
  <r>
    <x v="2"/>
    <x v="5"/>
    <x v="9"/>
    <x v="1"/>
  </r>
  <r>
    <x v="2"/>
    <x v="5"/>
    <x v="10"/>
    <x v="145"/>
  </r>
  <r>
    <x v="2"/>
    <x v="5"/>
    <x v="11"/>
    <x v="168"/>
  </r>
  <r>
    <x v="2"/>
    <x v="5"/>
    <x v="0"/>
    <x v="63"/>
  </r>
  <r>
    <x v="2"/>
    <x v="6"/>
    <x v="13"/>
    <x v="181"/>
  </r>
  <r>
    <x v="2"/>
    <x v="6"/>
    <x v="14"/>
    <x v="104"/>
  </r>
  <r>
    <x v="2"/>
    <x v="6"/>
    <x v="15"/>
    <x v="125"/>
  </r>
  <r>
    <x v="2"/>
    <x v="6"/>
    <x v="16"/>
    <x v="6"/>
  </r>
  <r>
    <x v="2"/>
    <x v="6"/>
    <x v="17"/>
    <x v="23"/>
  </r>
  <r>
    <x v="2"/>
    <x v="6"/>
    <x v="18"/>
    <x v="168"/>
  </r>
  <r>
    <x v="2"/>
    <x v="6"/>
    <x v="1"/>
    <x v="20"/>
  </r>
  <r>
    <x v="2"/>
    <x v="6"/>
    <x v="19"/>
    <x v="127"/>
  </r>
  <r>
    <x v="2"/>
    <x v="6"/>
    <x v="20"/>
    <x v="98"/>
  </r>
  <r>
    <x v="2"/>
    <x v="6"/>
    <x v="21"/>
    <x v="143"/>
  </r>
  <r>
    <x v="2"/>
    <x v="6"/>
    <x v="22"/>
    <x v="1"/>
  </r>
  <r>
    <x v="2"/>
    <x v="6"/>
    <x v="23"/>
    <x v="144"/>
  </r>
  <r>
    <x v="2"/>
    <x v="6"/>
    <x v="24"/>
    <x v="139"/>
  </r>
  <r>
    <x v="2"/>
    <x v="6"/>
    <x v="30"/>
    <x v="0"/>
  </r>
  <r>
    <x v="2"/>
    <x v="6"/>
    <x v="2"/>
    <x v="81"/>
  </r>
  <r>
    <x v="2"/>
    <x v="6"/>
    <x v="4"/>
    <x v="176"/>
  </r>
  <r>
    <x v="2"/>
    <x v="6"/>
    <x v="5"/>
    <x v="139"/>
  </r>
  <r>
    <x v="2"/>
    <x v="6"/>
    <x v="8"/>
    <x v="0"/>
  </r>
  <r>
    <x v="2"/>
    <x v="6"/>
    <x v="10"/>
    <x v="1"/>
  </r>
  <r>
    <x v="2"/>
    <x v="6"/>
    <x v="11"/>
    <x v="14"/>
  </r>
  <r>
    <x v="3"/>
    <x v="7"/>
    <x v="15"/>
    <x v="21"/>
  </r>
  <r>
    <x v="3"/>
    <x v="7"/>
    <x v="16"/>
    <x v="125"/>
  </r>
  <r>
    <x v="3"/>
    <x v="7"/>
    <x v="17"/>
    <x v="98"/>
  </r>
  <r>
    <x v="3"/>
    <x v="7"/>
    <x v="20"/>
    <x v="22"/>
  </r>
  <r>
    <x v="3"/>
    <x v="7"/>
    <x v="21"/>
    <x v="5"/>
  </r>
  <r>
    <x v="3"/>
    <x v="7"/>
    <x v="22"/>
    <x v="143"/>
  </r>
  <r>
    <x v="3"/>
    <x v="7"/>
    <x v="23"/>
    <x v="127"/>
  </r>
  <r>
    <x v="3"/>
    <x v="7"/>
    <x v="24"/>
    <x v="0"/>
  </r>
  <r>
    <x v="3"/>
    <x v="7"/>
    <x v="25"/>
    <x v="168"/>
  </r>
  <r>
    <x v="3"/>
    <x v="7"/>
    <x v="26"/>
    <x v="2"/>
  </r>
  <r>
    <x v="3"/>
    <x v="7"/>
    <x v="27"/>
    <x v="63"/>
  </r>
  <r>
    <x v="3"/>
    <x v="7"/>
    <x v="28"/>
    <x v="144"/>
  </r>
  <r>
    <x v="3"/>
    <x v="7"/>
    <x v="29"/>
    <x v="25"/>
  </r>
  <r>
    <x v="3"/>
    <x v="7"/>
    <x v="30"/>
    <x v="143"/>
  </r>
  <r>
    <x v="3"/>
    <x v="7"/>
    <x v="2"/>
    <x v="21"/>
  </r>
  <r>
    <x v="3"/>
    <x v="7"/>
    <x v="3"/>
    <x v="48"/>
  </r>
  <r>
    <x v="3"/>
    <x v="7"/>
    <x v="4"/>
    <x v="125"/>
  </r>
  <r>
    <x v="3"/>
    <x v="7"/>
    <x v="5"/>
    <x v="1"/>
  </r>
  <r>
    <x v="3"/>
    <x v="7"/>
    <x v="6"/>
    <x v="178"/>
  </r>
  <r>
    <x v="3"/>
    <x v="7"/>
    <x v="7"/>
    <x v="0"/>
  </r>
  <r>
    <x v="3"/>
    <x v="7"/>
    <x v="8"/>
    <x v="178"/>
  </r>
  <r>
    <x v="3"/>
    <x v="7"/>
    <x v="9"/>
    <x v="0"/>
  </r>
  <r>
    <x v="3"/>
    <x v="7"/>
    <x v="10"/>
    <x v="14"/>
  </r>
  <r>
    <x v="3"/>
    <x v="7"/>
    <x v="11"/>
    <x v="98"/>
  </r>
  <r>
    <x v="3"/>
    <x v="7"/>
    <x v="0"/>
    <x v="84"/>
  </r>
  <r>
    <x v="3"/>
    <x v="7"/>
    <x v="12"/>
    <x v="40"/>
  </r>
  <r>
    <x v="3"/>
    <x v="8"/>
    <x v="13"/>
    <x v="141"/>
  </r>
  <r>
    <x v="3"/>
    <x v="8"/>
    <x v="14"/>
    <x v="14"/>
  </r>
  <r>
    <x v="3"/>
    <x v="8"/>
    <x v="15"/>
    <x v="176"/>
  </r>
  <r>
    <x v="3"/>
    <x v="8"/>
    <x v="16"/>
    <x v="175"/>
  </r>
  <r>
    <x v="3"/>
    <x v="8"/>
    <x v="17"/>
    <x v="6"/>
  </r>
  <r>
    <x v="3"/>
    <x v="8"/>
    <x v="18"/>
    <x v="178"/>
  </r>
  <r>
    <x v="3"/>
    <x v="8"/>
    <x v="1"/>
    <x v="144"/>
  </r>
  <r>
    <x v="3"/>
    <x v="8"/>
    <x v="19"/>
    <x v="0"/>
  </r>
  <r>
    <x v="3"/>
    <x v="8"/>
    <x v="20"/>
    <x v="0"/>
  </r>
  <r>
    <x v="3"/>
    <x v="8"/>
    <x v="21"/>
    <x v="143"/>
  </r>
  <r>
    <x v="3"/>
    <x v="8"/>
    <x v="24"/>
    <x v="144"/>
  </r>
  <r>
    <x v="3"/>
    <x v="8"/>
    <x v="25"/>
    <x v="20"/>
  </r>
  <r>
    <x v="3"/>
    <x v="8"/>
    <x v="27"/>
    <x v="181"/>
  </r>
  <r>
    <x v="3"/>
    <x v="8"/>
    <x v="28"/>
    <x v="188"/>
  </r>
  <r>
    <x v="3"/>
    <x v="8"/>
    <x v="29"/>
    <x v="5"/>
  </r>
  <r>
    <x v="3"/>
    <x v="8"/>
    <x v="30"/>
    <x v="0"/>
  </r>
  <r>
    <x v="3"/>
    <x v="8"/>
    <x v="2"/>
    <x v="178"/>
  </r>
  <r>
    <x v="3"/>
    <x v="8"/>
    <x v="3"/>
    <x v="0"/>
  </r>
  <r>
    <x v="3"/>
    <x v="8"/>
    <x v="4"/>
    <x v="176"/>
  </r>
  <r>
    <x v="3"/>
    <x v="8"/>
    <x v="5"/>
    <x v="48"/>
  </r>
  <r>
    <x v="3"/>
    <x v="8"/>
    <x v="11"/>
    <x v="0"/>
  </r>
  <r>
    <x v="3"/>
    <x v="9"/>
    <x v="16"/>
    <x v="0"/>
  </r>
  <r>
    <x v="3"/>
    <x v="9"/>
    <x v="17"/>
    <x v="79"/>
  </r>
  <r>
    <x v="3"/>
    <x v="9"/>
    <x v="18"/>
    <x v="0"/>
  </r>
  <r>
    <x v="3"/>
    <x v="9"/>
    <x v="19"/>
    <x v="125"/>
  </r>
  <r>
    <x v="3"/>
    <x v="9"/>
    <x v="20"/>
    <x v="139"/>
  </r>
  <r>
    <x v="3"/>
    <x v="9"/>
    <x v="22"/>
    <x v="0"/>
  </r>
  <r>
    <x v="3"/>
    <x v="9"/>
    <x v="23"/>
    <x v="12"/>
  </r>
  <r>
    <x v="3"/>
    <x v="9"/>
    <x v="24"/>
    <x v="143"/>
  </r>
  <r>
    <x v="3"/>
    <x v="9"/>
    <x v="25"/>
    <x v="178"/>
  </r>
  <r>
    <x v="3"/>
    <x v="9"/>
    <x v="30"/>
    <x v="0"/>
  </r>
  <r>
    <x v="3"/>
    <x v="10"/>
    <x v="3"/>
    <x v="0"/>
  </r>
  <r>
    <x v="3"/>
    <x v="10"/>
    <x v="4"/>
    <x v="1"/>
  </r>
  <r>
    <x v="3"/>
    <x v="10"/>
    <x v="5"/>
    <x v="79"/>
  </r>
  <r>
    <x v="3"/>
    <x v="10"/>
    <x v="6"/>
    <x v="18"/>
  </r>
  <r>
    <x v="3"/>
    <x v="10"/>
    <x v="8"/>
    <x v="141"/>
  </r>
  <r>
    <x v="3"/>
    <x v="10"/>
    <x v="9"/>
    <x v="185"/>
  </r>
  <r>
    <x v="3"/>
    <x v="10"/>
    <x v="10"/>
    <x v="10"/>
  </r>
  <r>
    <x v="3"/>
    <x v="10"/>
    <x v="11"/>
    <x v="15"/>
  </r>
  <r>
    <x v="3"/>
    <x v="10"/>
    <x v="0"/>
    <x v="100"/>
  </r>
  <r>
    <x v="3"/>
    <x v="11"/>
    <x v="13"/>
    <x v="174"/>
  </r>
  <r>
    <x v="3"/>
    <x v="11"/>
    <x v="14"/>
    <x v="189"/>
  </r>
  <r>
    <x v="3"/>
    <x v="11"/>
    <x v="15"/>
    <x v="7"/>
  </r>
  <r>
    <x v="3"/>
    <x v="11"/>
    <x v="16"/>
    <x v="28"/>
  </r>
  <r>
    <x v="3"/>
    <x v="11"/>
    <x v="17"/>
    <x v="22"/>
  </r>
  <r>
    <x v="3"/>
    <x v="11"/>
    <x v="18"/>
    <x v="122"/>
  </r>
  <r>
    <x v="3"/>
    <x v="11"/>
    <x v="1"/>
    <x v="115"/>
  </r>
  <r>
    <x v="3"/>
    <x v="11"/>
    <x v="19"/>
    <x v="47"/>
  </r>
  <r>
    <x v="3"/>
    <x v="11"/>
    <x v="20"/>
    <x v="38"/>
  </r>
  <r>
    <x v="3"/>
    <x v="11"/>
    <x v="21"/>
    <x v="185"/>
  </r>
  <r>
    <x v="3"/>
    <x v="11"/>
    <x v="22"/>
    <x v="32"/>
  </r>
  <r>
    <x v="3"/>
    <x v="11"/>
    <x v="23"/>
    <x v="10"/>
  </r>
  <r>
    <x v="3"/>
    <x v="11"/>
    <x v="24"/>
    <x v="138"/>
  </r>
  <r>
    <x v="3"/>
    <x v="11"/>
    <x v="25"/>
    <x v="67"/>
  </r>
  <r>
    <x v="3"/>
    <x v="11"/>
    <x v="26"/>
    <x v="179"/>
  </r>
  <r>
    <x v="3"/>
    <x v="11"/>
    <x v="27"/>
    <x v="33"/>
  </r>
  <r>
    <x v="3"/>
    <x v="11"/>
    <x v="28"/>
    <x v="22"/>
  </r>
  <r>
    <x v="3"/>
    <x v="11"/>
    <x v="29"/>
    <x v="190"/>
  </r>
  <r>
    <x v="3"/>
    <x v="11"/>
    <x v="30"/>
    <x v="168"/>
  </r>
  <r>
    <x v="3"/>
    <x v="11"/>
    <x v="2"/>
    <x v="168"/>
  </r>
  <r>
    <x v="3"/>
    <x v="11"/>
    <x v="3"/>
    <x v="66"/>
  </r>
  <r>
    <x v="3"/>
    <x v="11"/>
    <x v="4"/>
    <x v="191"/>
  </r>
  <r>
    <x v="3"/>
    <x v="11"/>
    <x v="5"/>
    <x v="110"/>
  </r>
  <r>
    <x v="3"/>
    <x v="11"/>
    <x v="6"/>
    <x v="145"/>
  </r>
  <r>
    <x v="3"/>
    <x v="11"/>
    <x v="7"/>
    <x v="44"/>
  </r>
  <r>
    <x v="3"/>
    <x v="11"/>
    <x v="8"/>
    <x v="176"/>
  </r>
  <r>
    <x v="3"/>
    <x v="11"/>
    <x v="9"/>
    <x v="157"/>
  </r>
  <r>
    <x v="3"/>
    <x v="11"/>
    <x v="10"/>
    <x v="16"/>
  </r>
  <r>
    <x v="3"/>
    <x v="11"/>
    <x v="11"/>
    <x v="192"/>
  </r>
  <r>
    <x v="3"/>
    <x v="11"/>
    <x v="0"/>
    <x v="53"/>
  </r>
  <r>
    <x v="3"/>
    <x v="11"/>
    <x v="12"/>
    <x v="44"/>
  </r>
  <r>
    <x v="3"/>
    <x v="0"/>
    <x v="13"/>
    <x v="142"/>
  </r>
  <r>
    <x v="3"/>
    <x v="0"/>
    <x v="14"/>
    <x v="125"/>
  </r>
  <r>
    <x v="3"/>
    <x v="0"/>
    <x v="15"/>
    <x v="103"/>
  </r>
  <r>
    <x v="3"/>
    <x v="0"/>
    <x v="16"/>
    <x v="175"/>
  </r>
  <r>
    <x v="3"/>
    <x v="0"/>
    <x v="17"/>
    <x v="1"/>
  </r>
  <r>
    <x v="3"/>
    <x v="0"/>
    <x v="18"/>
    <x v="70"/>
  </r>
  <r>
    <x v="3"/>
    <x v="0"/>
    <x v="1"/>
    <x v="14"/>
  </r>
  <r>
    <x v="3"/>
    <x v="0"/>
    <x v="19"/>
    <x v="116"/>
  </r>
  <r>
    <x v="3"/>
    <x v="0"/>
    <x v="20"/>
    <x v="110"/>
  </r>
  <r>
    <x v="3"/>
    <x v="0"/>
    <x v="21"/>
    <x v="12"/>
  </r>
  <r>
    <x v="3"/>
    <x v="0"/>
    <x v="22"/>
    <x v="7"/>
  </r>
  <r>
    <x v="3"/>
    <x v="0"/>
    <x v="23"/>
    <x v="110"/>
  </r>
  <r>
    <x v="3"/>
    <x v="0"/>
    <x v="24"/>
    <x v="88"/>
  </r>
  <r>
    <x v="3"/>
    <x v="0"/>
    <x v="25"/>
    <x v="176"/>
  </r>
  <r>
    <x v="3"/>
    <x v="0"/>
    <x v="26"/>
    <x v="0"/>
  </r>
  <r>
    <x v="3"/>
    <x v="0"/>
    <x v="27"/>
    <x v="188"/>
  </r>
  <r>
    <x v="3"/>
    <x v="0"/>
    <x v="28"/>
    <x v="139"/>
  </r>
  <r>
    <x v="3"/>
    <x v="0"/>
    <x v="29"/>
    <x v="22"/>
  </r>
  <r>
    <x v="3"/>
    <x v="0"/>
    <x v="30"/>
    <x v="24"/>
  </r>
  <r>
    <x v="3"/>
    <x v="0"/>
    <x v="2"/>
    <x v="188"/>
  </r>
  <r>
    <x v="3"/>
    <x v="0"/>
    <x v="4"/>
    <x v="52"/>
  </r>
  <r>
    <x v="3"/>
    <x v="0"/>
    <x v="5"/>
    <x v="0"/>
  </r>
  <r>
    <x v="3"/>
    <x v="0"/>
    <x v="7"/>
    <x v="165"/>
  </r>
  <r>
    <x v="3"/>
    <x v="0"/>
    <x v="8"/>
    <x v="102"/>
  </r>
  <r>
    <x v="3"/>
    <x v="0"/>
    <x v="9"/>
    <x v="6"/>
  </r>
  <r>
    <x v="3"/>
    <x v="0"/>
    <x v="10"/>
    <x v="100"/>
  </r>
  <r>
    <x v="3"/>
    <x v="0"/>
    <x v="11"/>
    <x v="159"/>
  </r>
  <r>
    <x v="3"/>
    <x v="0"/>
    <x v="0"/>
    <x v="98"/>
  </r>
  <r>
    <x v="3"/>
    <x v="1"/>
    <x v="13"/>
    <x v="156"/>
  </r>
  <r>
    <x v="3"/>
    <x v="1"/>
    <x v="14"/>
    <x v="106"/>
  </r>
  <r>
    <x v="3"/>
    <x v="1"/>
    <x v="15"/>
    <x v="192"/>
  </r>
  <r>
    <x v="3"/>
    <x v="1"/>
    <x v="16"/>
    <x v="84"/>
  </r>
  <r>
    <x v="3"/>
    <x v="1"/>
    <x v="17"/>
    <x v="52"/>
  </r>
  <r>
    <x v="3"/>
    <x v="1"/>
    <x v="18"/>
    <x v="119"/>
  </r>
  <r>
    <x v="3"/>
    <x v="1"/>
    <x v="1"/>
    <x v="18"/>
  </r>
  <r>
    <x v="3"/>
    <x v="1"/>
    <x v="19"/>
    <x v="127"/>
  </r>
  <r>
    <x v="3"/>
    <x v="1"/>
    <x v="20"/>
    <x v="26"/>
  </r>
  <r>
    <x v="3"/>
    <x v="1"/>
    <x v="21"/>
    <x v="84"/>
  </r>
  <r>
    <x v="3"/>
    <x v="1"/>
    <x v="23"/>
    <x v="0"/>
  </r>
  <r>
    <x v="3"/>
    <x v="1"/>
    <x v="24"/>
    <x v="4"/>
  </r>
  <r>
    <x v="3"/>
    <x v="1"/>
    <x v="25"/>
    <x v="118"/>
  </r>
  <r>
    <x v="3"/>
    <x v="1"/>
    <x v="26"/>
    <x v="27"/>
  </r>
  <r>
    <x v="3"/>
    <x v="1"/>
    <x v="27"/>
    <x v="18"/>
  </r>
  <r>
    <x v="3"/>
    <x v="1"/>
    <x v="28"/>
    <x v="192"/>
  </r>
  <r>
    <x v="3"/>
    <x v="1"/>
    <x v="29"/>
    <x v="17"/>
  </r>
  <r>
    <x v="3"/>
    <x v="1"/>
    <x v="30"/>
    <x v="60"/>
  </r>
  <r>
    <x v="3"/>
    <x v="1"/>
    <x v="2"/>
    <x v="38"/>
  </r>
  <r>
    <x v="3"/>
    <x v="1"/>
    <x v="3"/>
    <x v="179"/>
  </r>
  <r>
    <x v="3"/>
    <x v="1"/>
    <x v="4"/>
    <x v="8"/>
  </r>
  <r>
    <x v="3"/>
    <x v="1"/>
    <x v="5"/>
    <x v="24"/>
  </r>
  <r>
    <x v="3"/>
    <x v="1"/>
    <x v="6"/>
    <x v="43"/>
  </r>
  <r>
    <x v="3"/>
    <x v="1"/>
    <x v="7"/>
    <x v="6"/>
  </r>
  <r>
    <x v="3"/>
    <x v="1"/>
    <x v="8"/>
    <x v="186"/>
  </r>
  <r>
    <x v="3"/>
    <x v="1"/>
    <x v="9"/>
    <x v="42"/>
  </r>
  <r>
    <x v="3"/>
    <x v="1"/>
    <x v="10"/>
    <x v="33"/>
  </r>
  <r>
    <x v="3"/>
    <x v="1"/>
    <x v="11"/>
    <x v="9"/>
  </r>
  <r>
    <x v="3"/>
    <x v="1"/>
    <x v="0"/>
    <x v="24"/>
  </r>
  <r>
    <x v="3"/>
    <x v="1"/>
    <x v="12"/>
    <x v="64"/>
  </r>
  <r>
    <x v="3"/>
    <x v="2"/>
    <x v="1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77">
  <r>
    <x v="0"/>
    <x v="0"/>
    <x v="0"/>
    <x v="0"/>
  </r>
  <r>
    <x v="0"/>
    <x v="1"/>
    <x v="1"/>
    <x v="0"/>
  </r>
  <r>
    <x v="0"/>
    <x v="1"/>
    <x v="2"/>
    <x v="1"/>
  </r>
  <r>
    <x v="0"/>
    <x v="1"/>
    <x v="3"/>
    <x v="2"/>
  </r>
  <r>
    <x v="0"/>
    <x v="1"/>
    <x v="4"/>
    <x v="3"/>
  </r>
  <r>
    <x v="0"/>
    <x v="1"/>
    <x v="5"/>
    <x v="4"/>
  </r>
  <r>
    <x v="0"/>
    <x v="1"/>
    <x v="6"/>
    <x v="5"/>
  </r>
  <r>
    <x v="0"/>
    <x v="1"/>
    <x v="7"/>
    <x v="6"/>
  </r>
  <r>
    <x v="0"/>
    <x v="1"/>
    <x v="8"/>
    <x v="7"/>
  </r>
  <r>
    <x v="0"/>
    <x v="1"/>
    <x v="9"/>
    <x v="5"/>
  </r>
  <r>
    <x v="0"/>
    <x v="1"/>
    <x v="10"/>
    <x v="8"/>
  </r>
  <r>
    <x v="0"/>
    <x v="1"/>
    <x v="11"/>
    <x v="9"/>
  </r>
  <r>
    <x v="0"/>
    <x v="1"/>
    <x v="0"/>
    <x v="10"/>
  </r>
  <r>
    <x v="0"/>
    <x v="1"/>
    <x v="12"/>
    <x v="6"/>
  </r>
  <r>
    <x v="0"/>
    <x v="2"/>
    <x v="13"/>
    <x v="11"/>
  </r>
  <r>
    <x v="0"/>
    <x v="2"/>
    <x v="14"/>
    <x v="12"/>
  </r>
  <r>
    <x v="0"/>
    <x v="2"/>
    <x v="15"/>
    <x v="13"/>
  </r>
  <r>
    <x v="0"/>
    <x v="2"/>
    <x v="16"/>
    <x v="14"/>
  </r>
  <r>
    <x v="0"/>
    <x v="2"/>
    <x v="17"/>
    <x v="15"/>
  </r>
  <r>
    <x v="0"/>
    <x v="2"/>
    <x v="18"/>
    <x v="16"/>
  </r>
  <r>
    <x v="0"/>
    <x v="2"/>
    <x v="1"/>
    <x v="17"/>
  </r>
  <r>
    <x v="0"/>
    <x v="2"/>
    <x v="19"/>
    <x v="18"/>
  </r>
  <r>
    <x v="0"/>
    <x v="2"/>
    <x v="20"/>
    <x v="15"/>
  </r>
  <r>
    <x v="0"/>
    <x v="2"/>
    <x v="21"/>
    <x v="19"/>
  </r>
  <r>
    <x v="0"/>
    <x v="2"/>
    <x v="22"/>
    <x v="20"/>
  </r>
  <r>
    <x v="0"/>
    <x v="2"/>
    <x v="23"/>
    <x v="21"/>
  </r>
  <r>
    <x v="0"/>
    <x v="2"/>
    <x v="24"/>
    <x v="22"/>
  </r>
  <r>
    <x v="0"/>
    <x v="2"/>
    <x v="25"/>
    <x v="23"/>
  </r>
  <r>
    <x v="0"/>
    <x v="2"/>
    <x v="26"/>
    <x v="17"/>
  </r>
  <r>
    <x v="0"/>
    <x v="2"/>
    <x v="27"/>
    <x v="24"/>
  </r>
  <r>
    <x v="0"/>
    <x v="2"/>
    <x v="28"/>
    <x v="2"/>
  </r>
  <r>
    <x v="0"/>
    <x v="2"/>
    <x v="29"/>
    <x v="25"/>
  </r>
  <r>
    <x v="0"/>
    <x v="2"/>
    <x v="30"/>
    <x v="26"/>
  </r>
  <r>
    <x v="0"/>
    <x v="2"/>
    <x v="2"/>
    <x v="27"/>
  </r>
  <r>
    <x v="0"/>
    <x v="2"/>
    <x v="3"/>
    <x v="28"/>
  </r>
  <r>
    <x v="0"/>
    <x v="2"/>
    <x v="4"/>
    <x v="29"/>
  </r>
  <r>
    <x v="0"/>
    <x v="2"/>
    <x v="5"/>
    <x v="30"/>
  </r>
  <r>
    <x v="0"/>
    <x v="2"/>
    <x v="6"/>
    <x v="20"/>
  </r>
  <r>
    <x v="0"/>
    <x v="2"/>
    <x v="7"/>
    <x v="5"/>
  </r>
  <r>
    <x v="0"/>
    <x v="2"/>
    <x v="8"/>
    <x v="31"/>
  </r>
  <r>
    <x v="0"/>
    <x v="2"/>
    <x v="9"/>
    <x v="32"/>
  </r>
  <r>
    <x v="0"/>
    <x v="2"/>
    <x v="10"/>
    <x v="33"/>
  </r>
  <r>
    <x v="0"/>
    <x v="2"/>
    <x v="11"/>
    <x v="34"/>
  </r>
  <r>
    <x v="0"/>
    <x v="2"/>
    <x v="0"/>
    <x v="35"/>
  </r>
  <r>
    <x v="0"/>
    <x v="2"/>
    <x v="12"/>
    <x v="12"/>
  </r>
  <r>
    <x v="0"/>
    <x v="3"/>
    <x v="13"/>
    <x v="19"/>
  </r>
  <r>
    <x v="0"/>
    <x v="3"/>
    <x v="14"/>
    <x v="36"/>
  </r>
  <r>
    <x v="0"/>
    <x v="3"/>
    <x v="15"/>
    <x v="24"/>
  </r>
  <r>
    <x v="0"/>
    <x v="3"/>
    <x v="16"/>
    <x v="37"/>
  </r>
  <r>
    <x v="0"/>
    <x v="3"/>
    <x v="17"/>
    <x v="38"/>
  </r>
  <r>
    <x v="0"/>
    <x v="3"/>
    <x v="18"/>
    <x v="11"/>
  </r>
  <r>
    <x v="0"/>
    <x v="3"/>
    <x v="1"/>
    <x v="12"/>
  </r>
  <r>
    <x v="0"/>
    <x v="3"/>
    <x v="19"/>
    <x v="8"/>
  </r>
  <r>
    <x v="0"/>
    <x v="3"/>
    <x v="20"/>
    <x v="39"/>
  </r>
  <r>
    <x v="0"/>
    <x v="3"/>
    <x v="21"/>
    <x v="40"/>
  </r>
  <r>
    <x v="0"/>
    <x v="3"/>
    <x v="22"/>
    <x v="15"/>
  </r>
  <r>
    <x v="0"/>
    <x v="3"/>
    <x v="23"/>
    <x v="14"/>
  </r>
  <r>
    <x v="0"/>
    <x v="3"/>
    <x v="24"/>
    <x v="10"/>
  </r>
  <r>
    <x v="0"/>
    <x v="3"/>
    <x v="25"/>
    <x v="14"/>
  </r>
  <r>
    <x v="0"/>
    <x v="3"/>
    <x v="26"/>
    <x v="41"/>
  </r>
  <r>
    <x v="0"/>
    <x v="3"/>
    <x v="27"/>
    <x v="42"/>
  </r>
  <r>
    <x v="0"/>
    <x v="3"/>
    <x v="28"/>
    <x v="31"/>
  </r>
  <r>
    <x v="0"/>
    <x v="3"/>
    <x v="29"/>
    <x v="22"/>
  </r>
  <r>
    <x v="0"/>
    <x v="3"/>
    <x v="30"/>
    <x v="32"/>
  </r>
  <r>
    <x v="0"/>
    <x v="3"/>
    <x v="2"/>
    <x v="43"/>
  </r>
  <r>
    <x v="0"/>
    <x v="3"/>
    <x v="3"/>
    <x v="44"/>
  </r>
  <r>
    <x v="0"/>
    <x v="3"/>
    <x v="4"/>
    <x v="45"/>
  </r>
  <r>
    <x v="0"/>
    <x v="3"/>
    <x v="5"/>
    <x v="46"/>
  </r>
  <r>
    <x v="0"/>
    <x v="3"/>
    <x v="6"/>
    <x v="6"/>
  </r>
  <r>
    <x v="0"/>
    <x v="3"/>
    <x v="7"/>
    <x v="34"/>
  </r>
  <r>
    <x v="0"/>
    <x v="3"/>
    <x v="8"/>
    <x v="7"/>
  </r>
  <r>
    <x v="0"/>
    <x v="3"/>
    <x v="9"/>
    <x v="47"/>
  </r>
  <r>
    <x v="0"/>
    <x v="3"/>
    <x v="11"/>
    <x v="48"/>
  </r>
  <r>
    <x v="0"/>
    <x v="3"/>
    <x v="0"/>
    <x v="49"/>
  </r>
  <r>
    <x v="0"/>
    <x v="4"/>
    <x v="13"/>
    <x v="50"/>
  </r>
  <r>
    <x v="0"/>
    <x v="4"/>
    <x v="14"/>
    <x v="51"/>
  </r>
  <r>
    <x v="0"/>
    <x v="4"/>
    <x v="15"/>
    <x v="52"/>
  </r>
  <r>
    <x v="0"/>
    <x v="4"/>
    <x v="16"/>
    <x v="38"/>
  </r>
  <r>
    <x v="0"/>
    <x v="4"/>
    <x v="17"/>
    <x v="53"/>
  </r>
  <r>
    <x v="0"/>
    <x v="4"/>
    <x v="18"/>
    <x v="54"/>
  </r>
  <r>
    <x v="0"/>
    <x v="4"/>
    <x v="1"/>
    <x v="55"/>
  </r>
  <r>
    <x v="0"/>
    <x v="4"/>
    <x v="19"/>
    <x v="56"/>
  </r>
  <r>
    <x v="0"/>
    <x v="4"/>
    <x v="20"/>
    <x v="57"/>
  </r>
  <r>
    <x v="0"/>
    <x v="4"/>
    <x v="21"/>
    <x v="42"/>
  </r>
  <r>
    <x v="0"/>
    <x v="4"/>
    <x v="22"/>
    <x v="58"/>
  </r>
  <r>
    <x v="0"/>
    <x v="4"/>
    <x v="23"/>
    <x v="23"/>
  </r>
  <r>
    <x v="0"/>
    <x v="4"/>
    <x v="24"/>
    <x v="33"/>
  </r>
  <r>
    <x v="0"/>
    <x v="4"/>
    <x v="25"/>
    <x v="3"/>
  </r>
  <r>
    <x v="0"/>
    <x v="4"/>
    <x v="26"/>
    <x v="59"/>
  </r>
  <r>
    <x v="0"/>
    <x v="4"/>
    <x v="27"/>
    <x v="60"/>
  </r>
  <r>
    <x v="0"/>
    <x v="4"/>
    <x v="28"/>
    <x v="31"/>
  </r>
  <r>
    <x v="0"/>
    <x v="4"/>
    <x v="29"/>
    <x v="61"/>
  </r>
  <r>
    <x v="0"/>
    <x v="4"/>
    <x v="30"/>
    <x v="28"/>
  </r>
  <r>
    <x v="0"/>
    <x v="4"/>
    <x v="2"/>
    <x v="62"/>
  </r>
  <r>
    <x v="0"/>
    <x v="4"/>
    <x v="3"/>
    <x v="63"/>
  </r>
  <r>
    <x v="0"/>
    <x v="4"/>
    <x v="4"/>
    <x v="64"/>
  </r>
  <r>
    <x v="0"/>
    <x v="4"/>
    <x v="5"/>
    <x v="45"/>
  </r>
  <r>
    <x v="0"/>
    <x v="4"/>
    <x v="6"/>
    <x v="45"/>
  </r>
  <r>
    <x v="0"/>
    <x v="4"/>
    <x v="7"/>
    <x v="58"/>
  </r>
  <r>
    <x v="0"/>
    <x v="4"/>
    <x v="8"/>
    <x v="65"/>
  </r>
  <r>
    <x v="0"/>
    <x v="4"/>
    <x v="9"/>
    <x v="66"/>
  </r>
  <r>
    <x v="0"/>
    <x v="4"/>
    <x v="10"/>
    <x v="28"/>
  </r>
  <r>
    <x v="0"/>
    <x v="4"/>
    <x v="11"/>
    <x v="67"/>
  </r>
  <r>
    <x v="0"/>
    <x v="4"/>
    <x v="0"/>
    <x v="68"/>
  </r>
  <r>
    <x v="0"/>
    <x v="4"/>
    <x v="12"/>
    <x v="67"/>
  </r>
  <r>
    <x v="0"/>
    <x v="5"/>
    <x v="13"/>
    <x v="37"/>
  </r>
  <r>
    <x v="0"/>
    <x v="5"/>
    <x v="14"/>
    <x v="7"/>
  </r>
  <r>
    <x v="0"/>
    <x v="5"/>
    <x v="15"/>
    <x v="16"/>
  </r>
  <r>
    <x v="0"/>
    <x v="5"/>
    <x v="16"/>
    <x v="55"/>
  </r>
  <r>
    <x v="0"/>
    <x v="5"/>
    <x v="17"/>
    <x v="69"/>
  </r>
  <r>
    <x v="0"/>
    <x v="5"/>
    <x v="18"/>
    <x v="36"/>
  </r>
  <r>
    <x v="0"/>
    <x v="5"/>
    <x v="1"/>
    <x v="50"/>
  </r>
  <r>
    <x v="0"/>
    <x v="5"/>
    <x v="19"/>
    <x v="70"/>
  </r>
  <r>
    <x v="0"/>
    <x v="5"/>
    <x v="20"/>
    <x v="42"/>
  </r>
  <r>
    <x v="0"/>
    <x v="5"/>
    <x v="21"/>
    <x v="71"/>
  </r>
  <r>
    <x v="0"/>
    <x v="5"/>
    <x v="22"/>
    <x v="41"/>
  </r>
  <r>
    <x v="0"/>
    <x v="5"/>
    <x v="23"/>
    <x v="53"/>
  </r>
  <r>
    <x v="0"/>
    <x v="5"/>
    <x v="24"/>
    <x v="72"/>
  </r>
  <r>
    <x v="0"/>
    <x v="5"/>
    <x v="25"/>
    <x v="29"/>
  </r>
  <r>
    <x v="0"/>
    <x v="5"/>
    <x v="26"/>
    <x v="73"/>
  </r>
  <r>
    <x v="0"/>
    <x v="5"/>
    <x v="27"/>
    <x v="74"/>
  </r>
  <r>
    <x v="0"/>
    <x v="5"/>
    <x v="28"/>
    <x v="75"/>
  </r>
  <r>
    <x v="0"/>
    <x v="5"/>
    <x v="29"/>
    <x v="45"/>
  </r>
  <r>
    <x v="0"/>
    <x v="5"/>
    <x v="30"/>
    <x v="4"/>
  </r>
  <r>
    <x v="0"/>
    <x v="5"/>
    <x v="2"/>
    <x v="76"/>
  </r>
  <r>
    <x v="0"/>
    <x v="5"/>
    <x v="3"/>
    <x v="77"/>
  </r>
  <r>
    <x v="0"/>
    <x v="5"/>
    <x v="4"/>
    <x v="78"/>
  </r>
  <r>
    <x v="0"/>
    <x v="5"/>
    <x v="5"/>
    <x v="79"/>
  </r>
  <r>
    <x v="0"/>
    <x v="5"/>
    <x v="6"/>
    <x v="80"/>
  </r>
  <r>
    <x v="0"/>
    <x v="5"/>
    <x v="7"/>
    <x v="81"/>
  </r>
  <r>
    <x v="0"/>
    <x v="5"/>
    <x v="8"/>
    <x v="58"/>
  </r>
  <r>
    <x v="0"/>
    <x v="5"/>
    <x v="9"/>
    <x v="62"/>
  </r>
  <r>
    <x v="0"/>
    <x v="5"/>
    <x v="10"/>
    <x v="82"/>
  </r>
  <r>
    <x v="0"/>
    <x v="5"/>
    <x v="11"/>
    <x v="83"/>
  </r>
  <r>
    <x v="0"/>
    <x v="5"/>
    <x v="0"/>
    <x v="7"/>
  </r>
  <r>
    <x v="0"/>
    <x v="6"/>
    <x v="13"/>
    <x v="84"/>
  </r>
  <r>
    <x v="0"/>
    <x v="6"/>
    <x v="14"/>
    <x v="85"/>
  </r>
  <r>
    <x v="0"/>
    <x v="6"/>
    <x v="15"/>
    <x v="45"/>
  </r>
  <r>
    <x v="0"/>
    <x v="6"/>
    <x v="16"/>
    <x v="56"/>
  </r>
  <r>
    <x v="0"/>
    <x v="6"/>
    <x v="17"/>
    <x v="86"/>
  </r>
  <r>
    <x v="0"/>
    <x v="6"/>
    <x v="18"/>
    <x v="3"/>
  </r>
  <r>
    <x v="0"/>
    <x v="6"/>
    <x v="1"/>
    <x v="34"/>
  </r>
  <r>
    <x v="0"/>
    <x v="6"/>
    <x v="19"/>
    <x v="60"/>
  </r>
  <r>
    <x v="0"/>
    <x v="6"/>
    <x v="20"/>
    <x v="87"/>
  </r>
  <r>
    <x v="0"/>
    <x v="6"/>
    <x v="21"/>
    <x v="13"/>
  </r>
  <r>
    <x v="0"/>
    <x v="6"/>
    <x v="22"/>
    <x v="88"/>
  </r>
  <r>
    <x v="0"/>
    <x v="6"/>
    <x v="23"/>
    <x v="27"/>
  </r>
  <r>
    <x v="0"/>
    <x v="6"/>
    <x v="24"/>
    <x v="55"/>
  </r>
  <r>
    <x v="0"/>
    <x v="6"/>
    <x v="25"/>
    <x v="30"/>
  </r>
  <r>
    <x v="0"/>
    <x v="6"/>
    <x v="26"/>
    <x v="89"/>
  </r>
  <r>
    <x v="0"/>
    <x v="6"/>
    <x v="27"/>
    <x v="13"/>
  </r>
  <r>
    <x v="0"/>
    <x v="6"/>
    <x v="28"/>
    <x v="90"/>
  </r>
  <r>
    <x v="0"/>
    <x v="6"/>
    <x v="29"/>
    <x v="91"/>
  </r>
  <r>
    <x v="0"/>
    <x v="6"/>
    <x v="30"/>
    <x v="92"/>
  </r>
  <r>
    <x v="0"/>
    <x v="6"/>
    <x v="2"/>
    <x v="93"/>
  </r>
  <r>
    <x v="0"/>
    <x v="6"/>
    <x v="3"/>
    <x v="94"/>
  </r>
  <r>
    <x v="0"/>
    <x v="6"/>
    <x v="4"/>
    <x v="57"/>
  </r>
  <r>
    <x v="0"/>
    <x v="6"/>
    <x v="5"/>
    <x v="95"/>
  </r>
  <r>
    <x v="0"/>
    <x v="6"/>
    <x v="6"/>
    <x v="96"/>
  </r>
  <r>
    <x v="0"/>
    <x v="6"/>
    <x v="7"/>
    <x v="24"/>
  </r>
  <r>
    <x v="0"/>
    <x v="6"/>
    <x v="8"/>
    <x v="41"/>
  </r>
  <r>
    <x v="0"/>
    <x v="6"/>
    <x v="9"/>
    <x v="88"/>
  </r>
  <r>
    <x v="0"/>
    <x v="6"/>
    <x v="10"/>
    <x v="77"/>
  </r>
  <r>
    <x v="0"/>
    <x v="6"/>
    <x v="11"/>
    <x v="82"/>
  </r>
  <r>
    <x v="0"/>
    <x v="6"/>
    <x v="0"/>
    <x v="97"/>
  </r>
  <r>
    <x v="0"/>
    <x v="6"/>
    <x v="12"/>
    <x v="42"/>
  </r>
  <r>
    <x v="1"/>
    <x v="7"/>
    <x v="13"/>
    <x v="98"/>
  </r>
  <r>
    <x v="1"/>
    <x v="7"/>
    <x v="14"/>
    <x v="1"/>
  </r>
  <r>
    <x v="1"/>
    <x v="7"/>
    <x v="15"/>
    <x v="99"/>
  </r>
  <r>
    <x v="1"/>
    <x v="7"/>
    <x v="16"/>
    <x v="100"/>
  </r>
  <r>
    <x v="1"/>
    <x v="7"/>
    <x v="17"/>
    <x v="55"/>
  </r>
  <r>
    <x v="1"/>
    <x v="7"/>
    <x v="18"/>
    <x v="101"/>
  </r>
  <r>
    <x v="1"/>
    <x v="7"/>
    <x v="1"/>
    <x v="2"/>
  </r>
  <r>
    <x v="1"/>
    <x v="7"/>
    <x v="19"/>
    <x v="102"/>
  </r>
  <r>
    <x v="1"/>
    <x v="7"/>
    <x v="20"/>
    <x v="16"/>
  </r>
  <r>
    <x v="1"/>
    <x v="7"/>
    <x v="21"/>
    <x v="2"/>
  </r>
  <r>
    <x v="1"/>
    <x v="7"/>
    <x v="22"/>
    <x v="103"/>
  </r>
  <r>
    <x v="1"/>
    <x v="7"/>
    <x v="23"/>
    <x v="104"/>
  </r>
  <r>
    <x v="1"/>
    <x v="7"/>
    <x v="24"/>
    <x v="0"/>
  </r>
  <r>
    <x v="1"/>
    <x v="7"/>
    <x v="25"/>
    <x v="92"/>
  </r>
  <r>
    <x v="1"/>
    <x v="7"/>
    <x v="26"/>
    <x v="105"/>
  </r>
  <r>
    <x v="1"/>
    <x v="7"/>
    <x v="27"/>
    <x v="6"/>
  </r>
  <r>
    <x v="1"/>
    <x v="7"/>
    <x v="28"/>
    <x v="97"/>
  </r>
  <r>
    <x v="1"/>
    <x v="7"/>
    <x v="29"/>
    <x v="106"/>
  </r>
  <r>
    <x v="1"/>
    <x v="7"/>
    <x v="30"/>
    <x v="82"/>
  </r>
  <r>
    <x v="1"/>
    <x v="7"/>
    <x v="2"/>
    <x v="107"/>
  </r>
  <r>
    <x v="1"/>
    <x v="7"/>
    <x v="3"/>
    <x v="8"/>
  </r>
  <r>
    <x v="1"/>
    <x v="7"/>
    <x v="4"/>
    <x v="108"/>
  </r>
  <r>
    <x v="1"/>
    <x v="7"/>
    <x v="5"/>
    <x v="31"/>
  </r>
  <r>
    <x v="1"/>
    <x v="7"/>
    <x v="6"/>
    <x v="2"/>
  </r>
  <r>
    <x v="1"/>
    <x v="7"/>
    <x v="7"/>
    <x v="77"/>
  </r>
  <r>
    <x v="1"/>
    <x v="7"/>
    <x v="8"/>
    <x v="109"/>
  </r>
  <r>
    <x v="1"/>
    <x v="7"/>
    <x v="9"/>
    <x v="110"/>
  </r>
  <r>
    <x v="1"/>
    <x v="7"/>
    <x v="10"/>
    <x v="111"/>
  </r>
  <r>
    <x v="1"/>
    <x v="7"/>
    <x v="11"/>
    <x v="112"/>
  </r>
  <r>
    <x v="1"/>
    <x v="7"/>
    <x v="0"/>
    <x v="111"/>
  </r>
  <r>
    <x v="1"/>
    <x v="7"/>
    <x v="12"/>
    <x v="38"/>
  </r>
  <r>
    <x v="1"/>
    <x v="8"/>
    <x v="13"/>
    <x v="113"/>
  </r>
  <r>
    <x v="1"/>
    <x v="8"/>
    <x v="14"/>
    <x v="114"/>
  </r>
  <r>
    <x v="1"/>
    <x v="8"/>
    <x v="15"/>
    <x v="115"/>
  </r>
  <r>
    <x v="1"/>
    <x v="8"/>
    <x v="16"/>
    <x v="14"/>
  </r>
  <r>
    <x v="1"/>
    <x v="8"/>
    <x v="17"/>
    <x v="116"/>
  </r>
  <r>
    <x v="1"/>
    <x v="8"/>
    <x v="18"/>
    <x v="117"/>
  </r>
  <r>
    <x v="1"/>
    <x v="8"/>
    <x v="1"/>
    <x v="118"/>
  </r>
  <r>
    <x v="1"/>
    <x v="8"/>
    <x v="19"/>
    <x v="119"/>
  </r>
  <r>
    <x v="1"/>
    <x v="8"/>
    <x v="20"/>
    <x v="120"/>
  </r>
  <r>
    <x v="1"/>
    <x v="8"/>
    <x v="21"/>
    <x v="51"/>
  </r>
  <r>
    <x v="1"/>
    <x v="8"/>
    <x v="22"/>
    <x v="43"/>
  </r>
  <r>
    <x v="1"/>
    <x v="8"/>
    <x v="23"/>
    <x v="26"/>
  </r>
  <r>
    <x v="1"/>
    <x v="8"/>
    <x v="24"/>
    <x v="81"/>
  </r>
  <r>
    <x v="1"/>
    <x v="8"/>
    <x v="25"/>
    <x v="45"/>
  </r>
  <r>
    <x v="1"/>
    <x v="8"/>
    <x v="26"/>
    <x v="51"/>
  </r>
  <r>
    <x v="1"/>
    <x v="8"/>
    <x v="27"/>
    <x v="110"/>
  </r>
  <r>
    <x v="1"/>
    <x v="8"/>
    <x v="28"/>
    <x v="61"/>
  </r>
  <r>
    <x v="1"/>
    <x v="8"/>
    <x v="29"/>
    <x v="42"/>
  </r>
  <r>
    <x v="1"/>
    <x v="8"/>
    <x v="30"/>
    <x v="121"/>
  </r>
  <r>
    <x v="1"/>
    <x v="8"/>
    <x v="2"/>
    <x v="22"/>
  </r>
  <r>
    <x v="1"/>
    <x v="8"/>
    <x v="3"/>
    <x v="122"/>
  </r>
  <r>
    <x v="1"/>
    <x v="8"/>
    <x v="4"/>
    <x v="81"/>
  </r>
  <r>
    <x v="1"/>
    <x v="8"/>
    <x v="5"/>
    <x v="2"/>
  </r>
  <r>
    <x v="1"/>
    <x v="8"/>
    <x v="6"/>
    <x v="50"/>
  </r>
  <r>
    <x v="1"/>
    <x v="8"/>
    <x v="7"/>
    <x v="123"/>
  </r>
  <r>
    <x v="1"/>
    <x v="8"/>
    <x v="8"/>
    <x v="124"/>
  </r>
  <r>
    <x v="1"/>
    <x v="8"/>
    <x v="9"/>
    <x v="27"/>
  </r>
  <r>
    <x v="1"/>
    <x v="8"/>
    <x v="10"/>
    <x v="79"/>
  </r>
  <r>
    <x v="1"/>
    <x v="9"/>
    <x v="13"/>
    <x v="8"/>
  </r>
  <r>
    <x v="1"/>
    <x v="9"/>
    <x v="14"/>
    <x v="125"/>
  </r>
  <r>
    <x v="1"/>
    <x v="9"/>
    <x v="15"/>
    <x v="126"/>
  </r>
  <r>
    <x v="1"/>
    <x v="9"/>
    <x v="16"/>
    <x v="127"/>
  </r>
  <r>
    <x v="1"/>
    <x v="9"/>
    <x v="17"/>
    <x v="63"/>
  </r>
  <r>
    <x v="1"/>
    <x v="9"/>
    <x v="18"/>
    <x v="23"/>
  </r>
  <r>
    <x v="1"/>
    <x v="9"/>
    <x v="1"/>
    <x v="128"/>
  </r>
  <r>
    <x v="1"/>
    <x v="9"/>
    <x v="19"/>
    <x v="4"/>
  </r>
  <r>
    <x v="1"/>
    <x v="9"/>
    <x v="20"/>
    <x v="121"/>
  </r>
  <r>
    <x v="1"/>
    <x v="9"/>
    <x v="21"/>
    <x v="129"/>
  </r>
  <r>
    <x v="1"/>
    <x v="9"/>
    <x v="22"/>
    <x v="10"/>
  </r>
  <r>
    <x v="1"/>
    <x v="9"/>
    <x v="23"/>
    <x v="19"/>
  </r>
  <r>
    <x v="1"/>
    <x v="9"/>
    <x v="24"/>
    <x v="15"/>
  </r>
  <r>
    <x v="1"/>
    <x v="9"/>
    <x v="25"/>
    <x v="14"/>
  </r>
  <r>
    <x v="1"/>
    <x v="9"/>
    <x v="26"/>
    <x v="11"/>
  </r>
  <r>
    <x v="1"/>
    <x v="9"/>
    <x v="27"/>
    <x v="130"/>
  </r>
  <r>
    <x v="1"/>
    <x v="9"/>
    <x v="28"/>
    <x v="7"/>
  </r>
  <r>
    <x v="1"/>
    <x v="9"/>
    <x v="29"/>
    <x v="15"/>
  </r>
  <r>
    <x v="1"/>
    <x v="9"/>
    <x v="30"/>
    <x v="37"/>
  </r>
  <r>
    <x v="1"/>
    <x v="9"/>
    <x v="2"/>
    <x v="131"/>
  </r>
  <r>
    <x v="1"/>
    <x v="9"/>
    <x v="3"/>
    <x v="132"/>
  </r>
  <r>
    <x v="1"/>
    <x v="9"/>
    <x v="4"/>
    <x v="14"/>
  </r>
  <r>
    <x v="1"/>
    <x v="9"/>
    <x v="5"/>
    <x v="81"/>
  </r>
  <r>
    <x v="1"/>
    <x v="9"/>
    <x v="6"/>
    <x v="133"/>
  </r>
  <r>
    <x v="1"/>
    <x v="9"/>
    <x v="7"/>
    <x v="5"/>
  </r>
  <r>
    <x v="1"/>
    <x v="9"/>
    <x v="8"/>
    <x v="82"/>
  </r>
  <r>
    <x v="1"/>
    <x v="9"/>
    <x v="9"/>
    <x v="37"/>
  </r>
  <r>
    <x v="1"/>
    <x v="9"/>
    <x v="10"/>
    <x v="42"/>
  </r>
  <r>
    <x v="1"/>
    <x v="9"/>
    <x v="11"/>
    <x v="134"/>
  </r>
  <r>
    <x v="1"/>
    <x v="9"/>
    <x v="0"/>
    <x v="86"/>
  </r>
  <r>
    <x v="1"/>
    <x v="9"/>
    <x v="12"/>
    <x v="64"/>
  </r>
  <r>
    <x v="1"/>
    <x v="10"/>
    <x v="13"/>
    <x v="135"/>
  </r>
  <r>
    <x v="1"/>
    <x v="10"/>
    <x v="14"/>
    <x v="136"/>
  </r>
  <r>
    <x v="1"/>
    <x v="10"/>
    <x v="15"/>
    <x v="111"/>
  </r>
  <r>
    <x v="1"/>
    <x v="10"/>
    <x v="16"/>
    <x v="9"/>
  </r>
  <r>
    <x v="1"/>
    <x v="10"/>
    <x v="17"/>
    <x v="38"/>
  </r>
  <r>
    <x v="1"/>
    <x v="10"/>
    <x v="18"/>
    <x v="70"/>
  </r>
  <r>
    <x v="1"/>
    <x v="10"/>
    <x v="1"/>
    <x v="32"/>
  </r>
  <r>
    <x v="1"/>
    <x v="10"/>
    <x v="19"/>
    <x v="111"/>
  </r>
  <r>
    <x v="1"/>
    <x v="10"/>
    <x v="20"/>
    <x v="81"/>
  </r>
  <r>
    <x v="1"/>
    <x v="10"/>
    <x v="21"/>
    <x v="18"/>
  </r>
  <r>
    <x v="1"/>
    <x v="10"/>
    <x v="22"/>
    <x v="14"/>
  </r>
  <r>
    <x v="1"/>
    <x v="10"/>
    <x v="23"/>
    <x v="137"/>
  </r>
  <r>
    <x v="1"/>
    <x v="10"/>
    <x v="24"/>
    <x v="44"/>
  </r>
  <r>
    <x v="1"/>
    <x v="10"/>
    <x v="25"/>
    <x v="58"/>
  </r>
  <r>
    <x v="1"/>
    <x v="10"/>
    <x v="26"/>
    <x v="27"/>
  </r>
  <r>
    <x v="1"/>
    <x v="10"/>
    <x v="27"/>
    <x v="138"/>
  </r>
  <r>
    <x v="1"/>
    <x v="10"/>
    <x v="28"/>
    <x v="33"/>
  </r>
  <r>
    <x v="1"/>
    <x v="10"/>
    <x v="29"/>
    <x v="17"/>
  </r>
  <r>
    <x v="1"/>
    <x v="10"/>
    <x v="30"/>
    <x v="60"/>
  </r>
  <r>
    <x v="1"/>
    <x v="10"/>
    <x v="2"/>
    <x v="92"/>
  </r>
  <r>
    <x v="1"/>
    <x v="10"/>
    <x v="3"/>
    <x v="86"/>
  </r>
  <r>
    <x v="1"/>
    <x v="10"/>
    <x v="4"/>
    <x v="59"/>
  </r>
  <r>
    <x v="1"/>
    <x v="10"/>
    <x v="5"/>
    <x v="106"/>
  </r>
  <r>
    <x v="1"/>
    <x v="10"/>
    <x v="6"/>
    <x v="139"/>
  </r>
  <r>
    <x v="1"/>
    <x v="10"/>
    <x v="7"/>
    <x v="0"/>
  </r>
  <r>
    <x v="1"/>
    <x v="10"/>
    <x v="8"/>
    <x v="48"/>
  </r>
  <r>
    <x v="1"/>
    <x v="10"/>
    <x v="9"/>
    <x v="113"/>
  </r>
  <r>
    <x v="1"/>
    <x v="10"/>
    <x v="10"/>
    <x v="14"/>
  </r>
  <r>
    <x v="1"/>
    <x v="10"/>
    <x v="11"/>
    <x v="64"/>
  </r>
  <r>
    <x v="1"/>
    <x v="10"/>
    <x v="0"/>
    <x v="104"/>
  </r>
  <r>
    <x v="1"/>
    <x v="11"/>
    <x v="13"/>
    <x v="78"/>
  </r>
  <r>
    <x v="1"/>
    <x v="11"/>
    <x v="14"/>
    <x v="5"/>
  </r>
  <r>
    <x v="1"/>
    <x v="11"/>
    <x v="15"/>
    <x v="79"/>
  </r>
  <r>
    <x v="1"/>
    <x v="11"/>
    <x v="16"/>
    <x v="107"/>
  </r>
  <r>
    <x v="1"/>
    <x v="11"/>
    <x v="17"/>
    <x v="140"/>
  </r>
  <r>
    <x v="1"/>
    <x v="11"/>
    <x v="18"/>
    <x v="141"/>
  </r>
  <r>
    <x v="1"/>
    <x v="11"/>
    <x v="19"/>
    <x v="0"/>
  </r>
  <r>
    <x v="1"/>
    <x v="11"/>
    <x v="27"/>
    <x v="0"/>
  </r>
  <r>
    <x v="1"/>
    <x v="11"/>
    <x v="28"/>
    <x v="2"/>
  </r>
  <r>
    <x v="1"/>
    <x v="11"/>
    <x v="29"/>
    <x v="48"/>
  </r>
  <r>
    <x v="1"/>
    <x v="0"/>
    <x v="1"/>
    <x v="0"/>
  </r>
  <r>
    <x v="1"/>
    <x v="0"/>
    <x v="19"/>
    <x v="142"/>
  </r>
  <r>
    <x v="1"/>
    <x v="0"/>
    <x v="20"/>
    <x v="143"/>
  </r>
  <r>
    <x v="1"/>
    <x v="0"/>
    <x v="21"/>
    <x v="144"/>
  </r>
  <r>
    <x v="1"/>
    <x v="1"/>
    <x v="9"/>
    <x v="0"/>
  </r>
  <r>
    <x v="1"/>
    <x v="2"/>
    <x v="13"/>
    <x v="0"/>
  </r>
  <r>
    <x v="1"/>
    <x v="4"/>
    <x v="8"/>
    <x v="145"/>
  </r>
  <r>
    <x v="1"/>
    <x v="4"/>
    <x v="9"/>
    <x v="142"/>
  </r>
  <r>
    <x v="1"/>
    <x v="4"/>
    <x v="10"/>
    <x v="99"/>
  </r>
  <r>
    <x v="1"/>
    <x v="4"/>
    <x v="11"/>
    <x v="1"/>
  </r>
  <r>
    <x v="1"/>
    <x v="4"/>
    <x v="0"/>
    <x v="1"/>
  </r>
  <r>
    <x v="1"/>
    <x v="4"/>
    <x v="12"/>
    <x v="40"/>
  </r>
  <r>
    <x v="1"/>
    <x v="5"/>
    <x v="13"/>
    <x v="146"/>
  </r>
  <r>
    <x v="1"/>
    <x v="5"/>
    <x v="14"/>
    <x v="10"/>
  </r>
  <r>
    <x v="1"/>
    <x v="5"/>
    <x v="15"/>
    <x v="147"/>
  </r>
  <r>
    <x v="1"/>
    <x v="5"/>
    <x v="16"/>
    <x v="21"/>
  </r>
  <r>
    <x v="1"/>
    <x v="5"/>
    <x v="17"/>
    <x v="148"/>
  </r>
  <r>
    <x v="1"/>
    <x v="5"/>
    <x v="18"/>
    <x v="31"/>
  </r>
  <r>
    <x v="1"/>
    <x v="5"/>
    <x v="1"/>
    <x v="149"/>
  </r>
  <r>
    <x v="1"/>
    <x v="5"/>
    <x v="19"/>
    <x v="86"/>
  </r>
  <r>
    <x v="1"/>
    <x v="5"/>
    <x v="20"/>
    <x v="150"/>
  </r>
  <r>
    <x v="1"/>
    <x v="5"/>
    <x v="21"/>
    <x v="59"/>
  </r>
  <r>
    <x v="1"/>
    <x v="5"/>
    <x v="22"/>
    <x v="151"/>
  </r>
  <r>
    <x v="1"/>
    <x v="5"/>
    <x v="23"/>
    <x v="57"/>
  </r>
  <r>
    <x v="1"/>
    <x v="5"/>
    <x v="24"/>
    <x v="152"/>
  </r>
  <r>
    <x v="1"/>
    <x v="5"/>
    <x v="25"/>
    <x v="153"/>
  </r>
  <r>
    <x v="1"/>
    <x v="5"/>
    <x v="26"/>
    <x v="69"/>
  </r>
  <r>
    <x v="1"/>
    <x v="5"/>
    <x v="27"/>
    <x v="107"/>
  </r>
  <r>
    <x v="1"/>
    <x v="5"/>
    <x v="28"/>
    <x v="102"/>
  </r>
  <r>
    <x v="1"/>
    <x v="5"/>
    <x v="29"/>
    <x v="154"/>
  </r>
  <r>
    <x v="1"/>
    <x v="5"/>
    <x v="30"/>
    <x v="84"/>
  </r>
  <r>
    <x v="1"/>
    <x v="5"/>
    <x v="2"/>
    <x v="115"/>
  </r>
  <r>
    <x v="1"/>
    <x v="5"/>
    <x v="3"/>
    <x v="81"/>
  </r>
  <r>
    <x v="1"/>
    <x v="5"/>
    <x v="4"/>
    <x v="84"/>
  </r>
  <r>
    <x v="1"/>
    <x v="5"/>
    <x v="5"/>
    <x v="24"/>
  </r>
  <r>
    <x v="1"/>
    <x v="5"/>
    <x v="6"/>
    <x v="70"/>
  </r>
  <r>
    <x v="1"/>
    <x v="5"/>
    <x v="7"/>
    <x v="70"/>
  </r>
  <r>
    <x v="1"/>
    <x v="5"/>
    <x v="8"/>
    <x v="155"/>
  </r>
  <r>
    <x v="1"/>
    <x v="5"/>
    <x v="9"/>
    <x v="13"/>
  </r>
  <r>
    <x v="1"/>
    <x v="5"/>
    <x v="10"/>
    <x v="111"/>
  </r>
  <r>
    <x v="1"/>
    <x v="5"/>
    <x v="11"/>
    <x v="156"/>
  </r>
  <r>
    <x v="1"/>
    <x v="5"/>
    <x v="0"/>
    <x v="35"/>
  </r>
  <r>
    <x v="1"/>
    <x v="6"/>
    <x v="13"/>
    <x v="5"/>
  </r>
  <r>
    <x v="1"/>
    <x v="6"/>
    <x v="14"/>
    <x v="35"/>
  </r>
  <r>
    <x v="1"/>
    <x v="6"/>
    <x v="15"/>
    <x v="130"/>
  </r>
  <r>
    <x v="1"/>
    <x v="6"/>
    <x v="16"/>
    <x v="33"/>
  </r>
  <r>
    <x v="1"/>
    <x v="6"/>
    <x v="17"/>
    <x v="8"/>
  </r>
  <r>
    <x v="1"/>
    <x v="6"/>
    <x v="18"/>
    <x v="59"/>
  </r>
  <r>
    <x v="1"/>
    <x v="6"/>
    <x v="1"/>
    <x v="157"/>
  </r>
  <r>
    <x v="1"/>
    <x v="6"/>
    <x v="19"/>
    <x v="158"/>
  </r>
  <r>
    <x v="1"/>
    <x v="6"/>
    <x v="20"/>
    <x v="159"/>
  </r>
  <r>
    <x v="1"/>
    <x v="6"/>
    <x v="21"/>
    <x v="130"/>
  </r>
  <r>
    <x v="1"/>
    <x v="6"/>
    <x v="22"/>
    <x v="36"/>
  </r>
  <r>
    <x v="1"/>
    <x v="6"/>
    <x v="23"/>
    <x v="155"/>
  </r>
  <r>
    <x v="1"/>
    <x v="6"/>
    <x v="24"/>
    <x v="160"/>
  </r>
  <r>
    <x v="1"/>
    <x v="6"/>
    <x v="25"/>
    <x v="56"/>
  </r>
  <r>
    <x v="1"/>
    <x v="6"/>
    <x v="26"/>
    <x v="42"/>
  </r>
  <r>
    <x v="1"/>
    <x v="6"/>
    <x v="27"/>
    <x v="67"/>
  </r>
  <r>
    <x v="1"/>
    <x v="6"/>
    <x v="28"/>
    <x v="161"/>
  </r>
  <r>
    <x v="1"/>
    <x v="6"/>
    <x v="29"/>
    <x v="122"/>
  </r>
  <r>
    <x v="1"/>
    <x v="6"/>
    <x v="30"/>
    <x v="83"/>
  </r>
  <r>
    <x v="1"/>
    <x v="6"/>
    <x v="2"/>
    <x v="162"/>
  </r>
  <r>
    <x v="1"/>
    <x v="6"/>
    <x v="3"/>
    <x v="163"/>
  </r>
  <r>
    <x v="1"/>
    <x v="6"/>
    <x v="4"/>
    <x v="164"/>
  </r>
  <r>
    <x v="1"/>
    <x v="6"/>
    <x v="5"/>
    <x v="4"/>
  </r>
  <r>
    <x v="1"/>
    <x v="6"/>
    <x v="6"/>
    <x v="20"/>
  </r>
  <r>
    <x v="1"/>
    <x v="6"/>
    <x v="7"/>
    <x v="165"/>
  </r>
  <r>
    <x v="1"/>
    <x v="6"/>
    <x v="8"/>
    <x v="23"/>
  </r>
  <r>
    <x v="1"/>
    <x v="6"/>
    <x v="9"/>
    <x v="10"/>
  </r>
  <r>
    <x v="1"/>
    <x v="6"/>
    <x v="10"/>
    <x v="166"/>
  </r>
  <r>
    <x v="1"/>
    <x v="6"/>
    <x v="11"/>
    <x v="66"/>
  </r>
  <r>
    <x v="1"/>
    <x v="6"/>
    <x v="0"/>
    <x v="44"/>
  </r>
  <r>
    <x v="1"/>
    <x v="6"/>
    <x v="12"/>
    <x v="138"/>
  </r>
  <r>
    <x v="2"/>
    <x v="7"/>
    <x v="13"/>
    <x v="139"/>
  </r>
  <r>
    <x v="2"/>
    <x v="7"/>
    <x v="14"/>
    <x v="20"/>
  </r>
  <r>
    <x v="2"/>
    <x v="7"/>
    <x v="15"/>
    <x v="167"/>
  </r>
  <r>
    <x v="2"/>
    <x v="7"/>
    <x v="16"/>
    <x v="157"/>
  </r>
  <r>
    <x v="2"/>
    <x v="7"/>
    <x v="17"/>
    <x v="168"/>
  </r>
  <r>
    <x v="2"/>
    <x v="7"/>
    <x v="18"/>
    <x v="127"/>
  </r>
  <r>
    <x v="2"/>
    <x v="7"/>
    <x v="1"/>
    <x v="169"/>
  </r>
  <r>
    <x v="2"/>
    <x v="7"/>
    <x v="19"/>
    <x v="16"/>
  </r>
  <r>
    <x v="2"/>
    <x v="7"/>
    <x v="20"/>
    <x v="27"/>
  </r>
  <r>
    <x v="2"/>
    <x v="7"/>
    <x v="21"/>
    <x v="52"/>
  </r>
  <r>
    <x v="2"/>
    <x v="7"/>
    <x v="22"/>
    <x v="85"/>
  </r>
  <r>
    <x v="2"/>
    <x v="7"/>
    <x v="23"/>
    <x v="17"/>
  </r>
  <r>
    <x v="2"/>
    <x v="7"/>
    <x v="24"/>
    <x v="170"/>
  </r>
  <r>
    <x v="2"/>
    <x v="7"/>
    <x v="25"/>
    <x v="82"/>
  </r>
  <r>
    <x v="2"/>
    <x v="7"/>
    <x v="26"/>
    <x v="138"/>
  </r>
  <r>
    <x v="2"/>
    <x v="7"/>
    <x v="27"/>
    <x v="115"/>
  </r>
  <r>
    <x v="2"/>
    <x v="7"/>
    <x v="28"/>
    <x v="32"/>
  </r>
  <r>
    <x v="2"/>
    <x v="7"/>
    <x v="29"/>
    <x v="59"/>
  </r>
  <r>
    <x v="2"/>
    <x v="7"/>
    <x v="30"/>
    <x v="171"/>
  </r>
  <r>
    <x v="2"/>
    <x v="7"/>
    <x v="2"/>
    <x v="155"/>
  </r>
  <r>
    <x v="2"/>
    <x v="7"/>
    <x v="3"/>
    <x v="55"/>
  </r>
  <r>
    <x v="2"/>
    <x v="7"/>
    <x v="4"/>
    <x v="100"/>
  </r>
  <r>
    <x v="2"/>
    <x v="7"/>
    <x v="5"/>
    <x v="64"/>
  </r>
  <r>
    <x v="2"/>
    <x v="7"/>
    <x v="6"/>
    <x v="12"/>
  </r>
  <r>
    <x v="2"/>
    <x v="7"/>
    <x v="7"/>
    <x v="172"/>
  </r>
  <r>
    <x v="2"/>
    <x v="7"/>
    <x v="8"/>
    <x v="6"/>
  </r>
  <r>
    <x v="2"/>
    <x v="7"/>
    <x v="9"/>
    <x v="102"/>
  </r>
  <r>
    <x v="2"/>
    <x v="7"/>
    <x v="10"/>
    <x v="106"/>
  </r>
  <r>
    <x v="2"/>
    <x v="7"/>
    <x v="11"/>
    <x v="38"/>
  </r>
  <r>
    <x v="2"/>
    <x v="7"/>
    <x v="0"/>
    <x v="16"/>
  </r>
  <r>
    <x v="2"/>
    <x v="7"/>
    <x v="12"/>
    <x v="32"/>
  </r>
  <r>
    <x v="2"/>
    <x v="8"/>
    <x v="13"/>
    <x v="93"/>
  </r>
  <r>
    <x v="2"/>
    <x v="8"/>
    <x v="14"/>
    <x v="168"/>
  </r>
  <r>
    <x v="2"/>
    <x v="8"/>
    <x v="15"/>
    <x v="52"/>
  </r>
  <r>
    <x v="2"/>
    <x v="8"/>
    <x v="16"/>
    <x v="173"/>
  </r>
  <r>
    <x v="2"/>
    <x v="8"/>
    <x v="17"/>
    <x v="1"/>
  </r>
  <r>
    <x v="2"/>
    <x v="8"/>
    <x v="18"/>
    <x v="77"/>
  </r>
  <r>
    <x v="2"/>
    <x v="8"/>
    <x v="1"/>
    <x v="47"/>
  </r>
  <r>
    <x v="2"/>
    <x v="8"/>
    <x v="19"/>
    <x v="41"/>
  </r>
  <r>
    <x v="2"/>
    <x v="8"/>
    <x v="20"/>
    <x v="156"/>
  </r>
  <r>
    <x v="2"/>
    <x v="8"/>
    <x v="21"/>
    <x v="143"/>
  </r>
  <r>
    <x v="2"/>
    <x v="8"/>
    <x v="22"/>
    <x v="122"/>
  </r>
  <r>
    <x v="2"/>
    <x v="8"/>
    <x v="23"/>
    <x v="7"/>
  </r>
  <r>
    <x v="2"/>
    <x v="8"/>
    <x v="24"/>
    <x v="2"/>
  </r>
  <r>
    <x v="2"/>
    <x v="8"/>
    <x v="25"/>
    <x v="168"/>
  </r>
  <r>
    <x v="2"/>
    <x v="8"/>
    <x v="26"/>
    <x v="156"/>
  </r>
  <r>
    <x v="2"/>
    <x v="8"/>
    <x v="27"/>
    <x v="56"/>
  </r>
  <r>
    <x v="2"/>
    <x v="8"/>
    <x v="28"/>
    <x v="104"/>
  </r>
  <r>
    <x v="2"/>
    <x v="8"/>
    <x v="29"/>
    <x v="96"/>
  </r>
  <r>
    <x v="2"/>
    <x v="8"/>
    <x v="30"/>
    <x v="4"/>
  </r>
  <r>
    <x v="2"/>
    <x v="8"/>
    <x v="2"/>
    <x v="9"/>
  </r>
  <r>
    <x v="2"/>
    <x v="8"/>
    <x v="3"/>
    <x v="138"/>
  </r>
  <r>
    <x v="2"/>
    <x v="8"/>
    <x v="4"/>
    <x v="19"/>
  </r>
  <r>
    <x v="2"/>
    <x v="8"/>
    <x v="5"/>
    <x v="63"/>
  </r>
  <r>
    <x v="2"/>
    <x v="8"/>
    <x v="6"/>
    <x v="15"/>
  </r>
  <r>
    <x v="2"/>
    <x v="8"/>
    <x v="7"/>
    <x v="135"/>
  </r>
  <r>
    <x v="2"/>
    <x v="8"/>
    <x v="8"/>
    <x v="174"/>
  </r>
  <r>
    <x v="2"/>
    <x v="8"/>
    <x v="9"/>
    <x v="1"/>
  </r>
  <r>
    <x v="2"/>
    <x v="8"/>
    <x v="10"/>
    <x v="118"/>
  </r>
  <r>
    <x v="2"/>
    <x v="9"/>
    <x v="13"/>
    <x v="110"/>
  </r>
  <r>
    <x v="2"/>
    <x v="9"/>
    <x v="14"/>
    <x v="8"/>
  </r>
  <r>
    <x v="2"/>
    <x v="9"/>
    <x v="15"/>
    <x v="93"/>
  </r>
  <r>
    <x v="2"/>
    <x v="9"/>
    <x v="16"/>
    <x v="78"/>
  </r>
  <r>
    <x v="2"/>
    <x v="9"/>
    <x v="17"/>
    <x v="5"/>
  </r>
  <r>
    <x v="2"/>
    <x v="9"/>
    <x v="18"/>
    <x v="14"/>
  </r>
  <r>
    <x v="2"/>
    <x v="9"/>
    <x v="1"/>
    <x v="106"/>
  </r>
  <r>
    <x v="2"/>
    <x v="9"/>
    <x v="19"/>
    <x v="172"/>
  </r>
  <r>
    <x v="2"/>
    <x v="9"/>
    <x v="20"/>
    <x v="175"/>
  </r>
  <r>
    <x v="2"/>
    <x v="9"/>
    <x v="21"/>
    <x v="16"/>
  </r>
  <r>
    <x v="2"/>
    <x v="9"/>
    <x v="22"/>
    <x v="103"/>
  </r>
  <r>
    <x v="2"/>
    <x v="9"/>
    <x v="23"/>
    <x v="37"/>
  </r>
  <r>
    <x v="2"/>
    <x v="9"/>
    <x v="24"/>
    <x v="84"/>
  </r>
  <r>
    <x v="2"/>
    <x v="9"/>
    <x v="25"/>
    <x v="176"/>
  </r>
  <r>
    <x v="2"/>
    <x v="9"/>
    <x v="26"/>
    <x v="3"/>
  </r>
  <r>
    <x v="2"/>
    <x v="9"/>
    <x v="27"/>
    <x v="27"/>
  </r>
  <r>
    <x v="2"/>
    <x v="9"/>
    <x v="28"/>
    <x v="22"/>
  </r>
  <r>
    <x v="2"/>
    <x v="9"/>
    <x v="29"/>
    <x v="64"/>
  </r>
  <r>
    <x v="2"/>
    <x v="9"/>
    <x v="30"/>
    <x v="86"/>
  </r>
  <r>
    <x v="2"/>
    <x v="9"/>
    <x v="2"/>
    <x v="31"/>
  </r>
  <r>
    <x v="2"/>
    <x v="9"/>
    <x v="3"/>
    <x v="12"/>
  </r>
  <r>
    <x v="2"/>
    <x v="9"/>
    <x v="4"/>
    <x v="118"/>
  </r>
  <r>
    <x v="2"/>
    <x v="9"/>
    <x v="5"/>
    <x v="72"/>
  </r>
  <r>
    <x v="2"/>
    <x v="9"/>
    <x v="6"/>
    <x v="7"/>
  </r>
  <r>
    <x v="2"/>
    <x v="9"/>
    <x v="7"/>
    <x v="177"/>
  </r>
  <r>
    <x v="2"/>
    <x v="9"/>
    <x v="8"/>
    <x v="6"/>
  </r>
  <r>
    <x v="2"/>
    <x v="9"/>
    <x v="9"/>
    <x v="171"/>
  </r>
  <r>
    <x v="2"/>
    <x v="9"/>
    <x v="10"/>
    <x v="32"/>
  </r>
  <r>
    <x v="2"/>
    <x v="9"/>
    <x v="11"/>
    <x v="142"/>
  </r>
  <r>
    <x v="2"/>
    <x v="9"/>
    <x v="0"/>
    <x v="142"/>
  </r>
  <r>
    <x v="2"/>
    <x v="9"/>
    <x v="12"/>
    <x v="33"/>
  </r>
  <r>
    <x v="2"/>
    <x v="10"/>
    <x v="13"/>
    <x v="21"/>
  </r>
  <r>
    <x v="2"/>
    <x v="10"/>
    <x v="14"/>
    <x v="141"/>
  </r>
  <r>
    <x v="2"/>
    <x v="10"/>
    <x v="15"/>
    <x v="171"/>
  </r>
  <r>
    <x v="2"/>
    <x v="10"/>
    <x v="16"/>
    <x v="141"/>
  </r>
  <r>
    <x v="2"/>
    <x v="10"/>
    <x v="17"/>
    <x v="22"/>
  </r>
  <r>
    <x v="2"/>
    <x v="10"/>
    <x v="18"/>
    <x v="144"/>
  </r>
  <r>
    <x v="2"/>
    <x v="10"/>
    <x v="1"/>
    <x v="145"/>
  </r>
  <r>
    <x v="2"/>
    <x v="10"/>
    <x v="19"/>
    <x v="178"/>
  </r>
  <r>
    <x v="2"/>
    <x v="10"/>
    <x v="20"/>
    <x v="11"/>
  </r>
  <r>
    <x v="2"/>
    <x v="10"/>
    <x v="21"/>
    <x v="104"/>
  </r>
  <r>
    <x v="2"/>
    <x v="10"/>
    <x v="22"/>
    <x v="179"/>
  </r>
  <r>
    <x v="2"/>
    <x v="10"/>
    <x v="23"/>
    <x v="93"/>
  </r>
  <r>
    <x v="2"/>
    <x v="10"/>
    <x v="24"/>
    <x v="168"/>
  </r>
  <r>
    <x v="2"/>
    <x v="10"/>
    <x v="25"/>
    <x v="171"/>
  </r>
  <r>
    <x v="2"/>
    <x v="10"/>
    <x v="26"/>
    <x v="24"/>
  </r>
  <r>
    <x v="2"/>
    <x v="10"/>
    <x v="27"/>
    <x v="0"/>
  </r>
  <r>
    <x v="2"/>
    <x v="10"/>
    <x v="28"/>
    <x v="1"/>
  </r>
  <r>
    <x v="2"/>
    <x v="10"/>
    <x v="29"/>
    <x v="105"/>
  </r>
  <r>
    <x v="2"/>
    <x v="10"/>
    <x v="30"/>
    <x v="71"/>
  </r>
  <r>
    <x v="2"/>
    <x v="10"/>
    <x v="2"/>
    <x v="18"/>
  </r>
  <r>
    <x v="2"/>
    <x v="10"/>
    <x v="3"/>
    <x v="6"/>
  </r>
  <r>
    <x v="2"/>
    <x v="10"/>
    <x v="4"/>
    <x v="1"/>
  </r>
  <r>
    <x v="2"/>
    <x v="10"/>
    <x v="5"/>
    <x v="2"/>
  </r>
  <r>
    <x v="2"/>
    <x v="10"/>
    <x v="6"/>
    <x v="138"/>
  </r>
  <r>
    <x v="2"/>
    <x v="10"/>
    <x v="7"/>
    <x v="32"/>
  </r>
  <r>
    <x v="2"/>
    <x v="10"/>
    <x v="8"/>
    <x v="157"/>
  </r>
  <r>
    <x v="2"/>
    <x v="10"/>
    <x v="9"/>
    <x v="64"/>
  </r>
  <r>
    <x v="2"/>
    <x v="10"/>
    <x v="10"/>
    <x v="84"/>
  </r>
  <r>
    <x v="2"/>
    <x v="10"/>
    <x v="11"/>
    <x v="180"/>
  </r>
  <r>
    <x v="2"/>
    <x v="10"/>
    <x v="0"/>
    <x v="12"/>
  </r>
  <r>
    <x v="2"/>
    <x v="11"/>
    <x v="13"/>
    <x v="138"/>
  </r>
  <r>
    <x v="2"/>
    <x v="11"/>
    <x v="14"/>
    <x v="181"/>
  </r>
  <r>
    <x v="2"/>
    <x v="11"/>
    <x v="15"/>
    <x v="48"/>
  </r>
  <r>
    <x v="2"/>
    <x v="11"/>
    <x v="16"/>
    <x v="0"/>
  </r>
  <r>
    <x v="2"/>
    <x v="11"/>
    <x v="17"/>
    <x v="18"/>
  </r>
  <r>
    <x v="2"/>
    <x v="11"/>
    <x v="18"/>
    <x v="141"/>
  </r>
  <r>
    <x v="2"/>
    <x v="11"/>
    <x v="1"/>
    <x v="12"/>
  </r>
  <r>
    <x v="2"/>
    <x v="11"/>
    <x v="19"/>
    <x v="174"/>
  </r>
  <r>
    <x v="2"/>
    <x v="11"/>
    <x v="20"/>
    <x v="181"/>
  </r>
  <r>
    <x v="2"/>
    <x v="11"/>
    <x v="21"/>
    <x v="25"/>
  </r>
  <r>
    <x v="2"/>
    <x v="11"/>
    <x v="22"/>
    <x v="144"/>
  </r>
  <r>
    <x v="2"/>
    <x v="11"/>
    <x v="23"/>
    <x v="168"/>
  </r>
  <r>
    <x v="2"/>
    <x v="11"/>
    <x v="24"/>
    <x v="48"/>
  </r>
  <r>
    <x v="2"/>
    <x v="11"/>
    <x v="25"/>
    <x v="0"/>
  </r>
  <r>
    <x v="2"/>
    <x v="11"/>
    <x v="26"/>
    <x v="98"/>
  </r>
  <r>
    <x v="2"/>
    <x v="11"/>
    <x v="27"/>
    <x v="98"/>
  </r>
  <r>
    <x v="2"/>
    <x v="11"/>
    <x v="28"/>
    <x v="182"/>
  </r>
  <r>
    <x v="2"/>
    <x v="11"/>
    <x v="29"/>
    <x v="0"/>
  </r>
  <r>
    <x v="2"/>
    <x v="11"/>
    <x v="30"/>
    <x v="145"/>
  </r>
  <r>
    <x v="2"/>
    <x v="11"/>
    <x v="2"/>
    <x v="0"/>
  </r>
  <r>
    <x v="2"/>
    <x v="11"/>
    <x v="4"/>
    <x v="23"/>
  </r>
  <r>
    <x v="2"/>
    <x v="11"/>
    <x v="5"/>
    <x v="18"/>
  </r>
  <r>
    <x v="2"/>
    <x v="11"/>
    <x v="6"/>
    <x v="6"/>
  </r>
  <r>
    <x v="2"/>
    <x v="11"/>
    <x v="7"/>
    <x v="15"/>
  </r>
  <r>
    <x v="2"/>
    <x v="11"/>
    <x v="8"/>
    <x v="141"/>
  </r>
  <r>
    <x v="2"/>
    <x v="11"/>
    <x v="9"/>
    <x v="145"/>
  </r>
  <r>
    <x v="2"/>
    <x v="11"/>
    <x v="10"/>
    <x v="48"/>
  </r>
  <r>
    <x v="2"/>
    <x v="11"/>
    <x v="11"/>
    <x v="82"/>
  </r>
  <r>
    <x v="2"/>
    <x v="11"/>
    <x v="0"/>
    <x v="104"/>
  </r>
  <r>
    <x v="2"/>
    <x v="11"/>
    <x v="12"/>
    <x v="40"/>
  </r>
  <r>
    <x v="2"/>
    <x v="0"/>
    <x v="13"/>
    <x v="32"/>
  </r>
  <r>
    <x v="2"/>
    <x v="0"/>
    <x v="14"/>
    <x v="19"/>
  </r>
  <r>
    <x v="2"/>
    <x v="0"/>
    <x v="15"/>
    <x v="1"/>
  </r>
  <r>
    <x v="2"/>
    <x v="0"/>
    <x v="16"/>
    <x v="45"/>
  </r>
  <r>
    <x v="2"/>
    <x v="0"/>
    <x v="17"/>
    <x v="37"/>
  </r>
  <r>
    <x v="2"/>
    <x v="0"/>
    <x v="18"/>
    <x v="32"/>
  </r>
  <r>
    <x v="2"/>
    <x v="0"/>
    <x v="1"/>
    <x v="79"/>
  </r>
  <r>
    <x v="2"/>
    <x v="0"/>
    <x v="19"/>
    <x v="44"/>
  </r>
  <r>
    <x v="2"/>
    <x v="0"/>
    <x v="20"/>
    <x v="176"/>
  </r>
  <r>
    <x v="2"/>
    <x v="0"/>
    <x v="21"/>
    <x v="48"/>
  </r>
  <r>
    <x v="2"/>
    <x v="0"/>
    <x v="22"/>
    <x v="103"/>
  </r>
  <r>
    <x v="2"/>
    <x v="0"/>
    <x v="23"/>
    <x v="0"/>
  </r>
  <r>
    <x v="2"/>
    <x v="0"/>
    <x v="24"/>
    <x v="12"/>
  </r>
  <r>
    <x v="2"/>
    <x v="0"/>
    <x v="25"/>
    <x v="139"/>
  </r>
  <r>
    <x v="2"/>
    <x v="0"/>
    <x v="26"/>
    <x v="183"/>
  </r>
  <r>
    <x v="2"/>
    <x v="0"/>
    <x v="27"/>
    <x v="110"/>
  </r>
  <r>
    <x v="2"/>
    <x v="0"/>
    <x v="28"/>
    <x v="178"/>
  </r>
  <r>
    <x v="2"/>
    <x v="0"/>
    <x v="29"/>
    <x v="181"/>
  </r>
  <r>
    <x v="2"/>
    <x v="0"/>
    <x v="30"/>
    <x v="127"/>
  </r>
  <r>
    <x v="2"/>
    <x v="0"/>
    <x v="2"/>
    <x v="0"/>
  </r>
  <r>
    <x v="2"/>
    <x v="0"/>
    <x v="3"/>
    <x v="98"/>
  </r>
  <r>
    <x v="2"/>
    <x v="0"/>
    <x v="4"/>
    <x v="181"/>
  </r>
  <r>
    <x v="2"/>
    <x v="0"/>
    <x v="5"/>
    <x v="168"/>
  </r>
  <r>
    <x v="2"/>
    <x v="0"/>
    <x v="6"/>
    <x v="127"/>
  </r>
  <r>
    <x v="2"/>
    <x v="0"/>
    <x v="7"/>
    <x v="63"/>
  </r>
  <r>
    <x v="2"/>
    <x v="0"/>
    <x v="8"/>
    <x v="19"/>
  </r>
  <r>
    <x v="2"/>
    <x v="0"/>
    <x v="9"/>
    <x v="178"/>
  </r>
  <r>
    <x v="2"/>
    <x v="0"/>
    <x v="10"/>
    <x v="0"/>
  </r>
  <r>
    <x v="2"/>
    <x v="0"/>
    <x v="11"/>
    <x v="143"/>
  </r>
  <r>
    <x v="2"/>
    <x v="0"/>
    <x v="0"/>
    <x v="174"/>
  </r>
  <r>
    <x v="2"/>
    <x v="1"/>
    <x v="13"/>
    <x v="176"/>
  </r>
  <r>
    <x v="2"/>
    <x v="1"/>
    <x v="14"/>
    <x v="141"/>
  </r>
  <r>
    <x v="2"/>
    <x v="1"/>
    <x v="15"/>
    <x v="144"/>
  </r>
  <r>
    <x v="2"/>
    <x v="1"/>
    <x v="16"/>
    <x v="10"/>
  </r>
  <r>
    <x v="2"/>
    <x v="1"/>
    <x v="17"/>
    <x v="125"/>
  </r>
  <r>
    <x v="2"/>
    <x v="1"/>
    <x v="18"/>
    <x v="42"/>
  </r>
  <r>
    <x v="2"/>
    <x v="1"/>
    <x v="1"/>
    <x v="1"/>
  </r>
  <r>
    <x v="2"/>
    <x v="1"/>
    <x v="19"/>
    <x v="0"/>
  </r>
  <r>
    <x v="2"/>
    <x v="1"/>
    <x v="21"/>
    <x v="178"/>
  </r>
  <r>
    <x v="2"/>
    <x v="1"/>
    <x v="22"/>
    <x v="127"/>
  </r>
  <r>
    <x v="2"/>
    <x v="1"/>
    <x v="23"/>
    <x v="16"/>
  </r>
  <r>
    <x v="2"/>
    <x v="1"/>
    <x v="24"/>
    <x v="18"/>
  </r>
  <r>
    <x v="2"/>
    <x v="1"/>
    <x v="25"/>
    <x v="175"/>
  </r>
  <r>
    <x v="2"/>
    <x v="1"/>
    <x v="26"/>
    <x v="171"/>
  </r>
  <r>
    <x v="2"/>
    <x v="1"/>
    <x v="27"/>
    <x v="0"/>
  </r>
  <r>
    <x v="2"/>
    <x v="1"/>
    <x v="28"/>
    <x v="25"/>
  </r>
  <r>
    <x v="2"/>
    <x v="1"/>
    <x v="29"/>
    <x v="104"/>
  </r>
  <r>
    <x v="2"/>
    <x v="1"/>
    <x v="30"/>
    <x v="98"/>
  </r>
  <r>
    <x v="2"/>
    <x v="1"/>
    <x v="2"/>
    <x v="139"/>
  </r>
  <r>
    <x v="2"/>
    <x v="1"/>
    <x v="3"/>
    <x v="19"/>
  </r>
  <r>
    <x v="2"/>
    <x v="1"/>
    <x v="4"/>
    <x v="48"/>
  </r>
  <r>
    <x v="2"/>
    <x v="1"/>
    <x v="5"/>
    <x v="0"/>
  </r>
  <r>
    <x v="2"/>
    <x v="1"/>
    <x v="6"/>
    <x v="0"/>
  </r>
  <r>
    <x v="2"/>
    <x v="1"/>
    <x v="7"/>
    <x v="0"/>
  </r>
  <r>
    <x v="2"/>
    <x v="1"/>
    <x v="8"/>
    <x v="178"/>
  </r>
  <r>
    <x v="2"/>
    <x v="1"/>
    <x v="9"/>
    <x v="98"/>
  </r>
  <r>
    <x v="2"/>
    <x v="1"/>
    <x v="10"/>
    <x v="127"/>
  </r>
  <r>
    <x v="2"/>
    <x v="1"/>
    <x v="11"/>
    <x v="27"/>
  </r>
  <r>
    <x v="2"/>
    <x v="1"/>
    <x v="0"/>
    <x v="143"/>
  </r>
  <r>
    <x v="2"/>
    <x v="1"/>
    <x v="12"/>
    <x v="21"/>
  </r>
  <r>
    <x v="2"/>
    <x v="2"/>
    <x v="13"/>
    <x v="138"/>
  </r>
  <r>
    <x v="2"/>
    <x v="2"/>
    <x v="14"/>
    <x v="44"/>
  </r>
  <r>
    <x v="2"/>
    <x v="2"/>
    <x v="15"/>
    <x v="141"/>
  </r>
  <r>
    <x v="2"/>
    <x v="2"/>
    <x v="16"/>
    <x v="184"/>
  </r>
  <r>
    <x v="2"/>
    <x v="2"/>
    <x v="17"/>
    <x v="175"/>
  </r>
  <r>
    <x v="2"/>
    <x v="2"/>
    <x v="18"/>
    <x v="0"/>
  </r>
  <r>
    <x v="2"/>
    <x v="2"/>
    <x v="1"/>
    <x v="25"/>
  </r>
  <r>
    <x v="2"/>
    <x v="2"/>
    <x v="19"/>
    <x v="14"/>
  </r>
  <r>
    <x v="2"/>
    <x v="2"/>
    <x v="20"/>
    <x v="6"/>
  </r>
  <r>
    <x v="2"/>
    <x v="2"/>
    <x v="21"/>
    <x v="104"/>
  </r>
  <r>
    <x v="2"/>
    <x v="2"/>
    <x v="22"/>
    <x v="181"/>
  </r>
  <r>
    <x v="2"/>
    <x v="2"/>
    <x v="23"/>
    <x v="111"/>
  </r>
  <r>
    <x v="2"/>
    <x v="2"/>
    <x v="24"/>
    <x v="157"/>
  </r>
  <r>
    <x v="2"/>
    <x v="2"/>
    <x v="25"/>
    <x v="148"/>
  </r>
  <r>
    <x v="2"/>
    <x v="2"/>
    <x v="26"/>
    <x v="45"/>
  </r>
  <r>
    <x v="2"/>
    <x v="2"/>
    <x v="27"/>
    <x v="31"/>
  </r>
  <r>
    <x v="2"/>
    <x v="2"/>
    <x v="28"/>
    <x v="146"/>
  </r>
  <r>
    <x v="2"/>
    <x v="2"/>
    <x v="29"/>
    <x v="55"/>
  </r>
  <r>
    <x v="2"/>
    <x v="2"/>
    <x v="30"/>
    <x v="23"/>
  </r>
  <r>
    <x v="2"/>
    <x v="2"/>
    <x v="2"/>
    <x v="118"/>
  </r>
  <r>
    <x v="2"/>
    <x v="2"/>
    <x v="3"/>
    <x v="103"/>
  </r>
  <r>
    <x v="2"/>
    <x v="2"/>
    <x v="4"/>
    <x v="78"/>
  </r>
  <r>
    <x v="2"/>
    <x v="2"/>
    <x v="5"/>
    <x v="141"/>
  </r>
  <r>
    <x v="2"/>
    <x v="2"/>
    <x v="6"/>
    <x v="185"/>
  </r>
  <r>
    <x v="2"/>
    <x v="2"/>
    <x v="7"/>
    <x v="171"/>
  </r>
  <r>
    <x v="2"/>
    <x v="2"/>
    <x v="8"/>
    <x v="104"/>
  </r>
  <r>
    <x v="2"/>
    <x v="2"/>
    <x v="9"/>
    <x v="16"/>
  </r>
  <r>
    <x v="2"/>
    <x v="2"/>
    <x v="10"/>
    <x v="138"/>
  </r>
  <r>
    <x v="2"/>
    <x v="2"/>
    <x v="11"/>
    <x v="48"/>
  </r>
  <r>
    <x v="2"/>
    <x v="2"/>
    <x v="0"/>
    <x v="8"/>
  </r>
  <r>
    <x v="2"/>
    <x v="2"/>
    <x v="12"/>
    <x v="29"/>
  </r>
  <r>
    <x v="2"/>
    <x v="3"/>
    <x v="13"/>
    <x v="12"/>
  </r>
  <r>
    <x v="2"/>
    <x v="3"/>
    <x v="14"/>
    <x v="16"/>
  </r>
  <r>
    <x v="2"/>
    <x v="3"/>
    <x v="15"/>
    <x v="103"/>
  </r>
  <r>
    <x v="2"/>
    <x v="3"/>
    <x v="16"/>
    <x v="98"/>
  </r>
  <r>
    <x v="2"/>
    <x v="3"/>
    <x v="17"/>
    <x v="110"/>
  </r>
  <r>
    <x v="2"/>
    <x v="3"/>
    <x v="18"/>
    <x v="12"/>
  </r>
  <r>
    <x v="2"/>
    <x v="3"/>
    <x v="1"/>
    <x v="125"/>
  </r>
  <r>
    <x v="2"/>
    <x v="3"/>
    <x v="19"/>
    <x v="171"/>
  </r>
  <r>
    <x v="2"/>
    <x v="3"/>
    <x v="20"/>
    <x v="18"/>
  </r>
  <r>
    <x v="2"/>
    <x v="3"/>
    <x v="21"/>
    <x v="155"/>
  </r>
  <r>
    <x v="2"/>
    <x v="3"/>
    <x v="22"/>
    <x v="186"/>
  </r>
  <r>
    <x v="2"/>
    <x v="3"/>
    <x v="23"/>
    <x v="167"/>
  </r>
  <r>
    <x v="2"/>
    <x v="3"/>
    <x v="24"/>
    <x v="32"/>
  </r>
  <r>
    <x v="2"/>
    <x v="3"/>
    <x v="25"/>
    <x v="2"/>
  </r>
  <r>
    <x v="2"/>
    <x v="3"/>
    <x v="26"/>
    <x v="185"/>
  </r>
  <r>
    <x v="2"/>
    <x v="3"/>
    <x v="27"/>
    <x v="48"/>
  </r>
  <r>
    <x v="2"/>
    <x v="3"/>
    <x v="28"/>
    <x v="167"/>
  </r>
  <r>
    <x v="2"/>
    <x v="3"/>
    <x v="29"/>
    <x v="58"/>
  </r>
  <r>
    <x v="2"/>
    <x v="3"/>
    <x v="30"/>
    <x v="38"/>
  </r>
  <r>
    <x v="2"/>
    <x v="3"/>
    <x v="2"/>
    <x v="52"/>
  </r>
  <r>
    <x v="2"/>
    <x v="3"/>
    <x v="3"/>
    <x v="84"/>
  </r>
  <r>
    <x v="2"/>
    <x v="3"/>
    <x v="4"/>
    <x v="176"/>
  </r>
  <r>
    <x v="2"/>
    <x v="3"/>
    <x v="5"/>
    <x v="96"/>
  </r>
  <r>
    <x v="2"/>
    <x v="3"/>
    <x v="6"/>
    <x v="26"/>
  </r>
  <r>
    <x v="2"/>
    <x v="3"/>
    <x v="7"/>
    <x v="19"/>
  </r>
  <r>
    <x v="2"/>
    <x v="3"/>
    <x v="8"/>
    <x v="41"/>
  </r>
  <r>
    <x v="2"/>
    <x v="3"/>
    <x v="9"/>
    <x v="37"/>
  </r>
  <r>
    <x v="2"/>
    <x v="3"/>
    <x v="10"/>
    <x v="61"/>
  </r>
  <r>
    <x v="2"/>
    <x v="3"/>
    <x v="11"/>
    <x v="52"/>
  </r>
  <r>
    <x v="2"/>
    <x v="3"/>
    <x v="0"/>
    <x v="26"/>
  </r>
  <r>
    <x v="2"/>
    <x v="4"/>
    <x v="13"/>
    <x v="139"/>
  </r>
  <r>
    <x v="2"/>
    <x v="4"/>
    <x v="14"/>
    <x v="20"/>
  </r>
  <r>
    <x v="2"/>
    <x v="4"/>
    <x v="15"/>
    <x v="98"/>
  </r>
  <r>
    <x v="2"/>
    <x v="4"/>
    <x v="16"/>
    <x v="99"/>
  </r>
  <r>
    <x v="2"/>
    <x v="4"/>
    <x v="17"/>
    <x v="125"/>
  </r>
  <r>
    <x v="2"/>
    <x v="4"/>
    <x v="18"/>
    <x v="27"/>
  </r>
  <r>
    <x v="2"/>
    <x v="4"/>
    <x v="1"/>
    <x v="176"/>
  </r>
  <r>
    <x v="2"/>
    <x v="4"/>
    <x v="20"/>
    <x v="176"/>
  </r>
  <r>
    <x v="2"/>
    <x v="4"/>
    <x v="21"/>
    <x v="34"/>
  </r>
  <r>
    <x v="2"/>
    <x v="4"/>
    <x v="22"/>
    <x v="17"/>
  </r>
  <r>
    <x v="2"/>
    <x v="4"/>
    <x v="23"/>
    <x v="103"/>
  </r>
  <r>
    <x v="2"/>
    <x v="4"/>
    <x v="24"/>
    <x v="144"/>
  </r>
  <r>
    <x v="2"/>
    <x v="4"/>
    <x v="25"/>
    <x v="0"/>
  </r>
  <r>
    <x v="2"/>
    <x v="4"/>
    <x v="26"/>
    <x v="178"/>
  </r>
  <r>
    <x v="2"/>
    <x v="4"/>
    <x v="27"/>
    <x v="25"/>
  </r>
  <r>
    <x v="2"/>
    <x v="4"/>
    <x v="28"/>
    <x v="22"/>
  </r>
  <r>
    <x v="2"/>
    <x v="4"/>
    <x v="29"/>
    <x v="187"/>
  </r>
  <r>
    <x v="2"/>
    <x v="4"/>
    <x v="30"/>
    <x v="185"/>
  </r>
  <r>
    <x v="2"/>
    <x v="4"/>
    <x v="2"/>
    <x v="100"/>
  </r>
  <r>
    <x v="2"/>
    <x v="4"/>
    <x v="3"/>
    <x v="8"/>
  </r>
  <r>
    <x v="2"/>
    <x v="4"/>
    <x v="4"/>
    <x v="179"/>
  </r>
  <r>
    <x v="2"/>
    <x v="4"/>
    <x v="5"/>
    <x v="138"/>
  </r>
  <r>
    <x v="2"/>
    <x v="4"/>
    <x v="6"/>
    <x v="24"/>
  </r>
  <r>
    <x v="2"/>
    <x v="4"/>
    <x v="7"/>
    <x v="98"/>
  </r>
  <r>
    <x v="2"/>
    <x v="4"/>
    <x v="8"/>
    <x v="127"/>
  </r>
  <r>
    <x v="2"/>
    <x v="4"/>
    <x v="9"/>
    <x v="171"/>
  </r>
  <r>
    <x v="2"/>
    <x v="4"/>
    <x v="10"/>
    <x v="141"/>
  </r>
  <r>
    <x v="2"/>
    <x v="4"/>
    <x v="11"/>
    <x v="144"/>
  </r>
  <r>
    <x v="2"/>
    <x v="4"/>
    <x v="0"/>
    <x v="110"/>
  </r>
  <r>
    <x v="2"/>
    <x v="4"/>
    <x v="12"/>
    <x v="125"/>
  </r>
  <r>
    <x v="2"/>
    <x v="5"/>
    <x v="13"/>
    <x v="25"/>
  </r>
  <r>
    <x v="2"/>
    <x v="5"/>
    <x v="14"/>
    <x v="141"/>
  </r>
  <r>
    <x v="2"/>
    <x v="5"/>
    <x v="15"/>
    <x v="139"/>
  </r>
  <r>
    <x v="2"/>
    <x v="5"/>
    <x v="16"/>
    <x v="48"/>
  </r>
  <r>
    <x v="2"/>
    <x v="5"/>
    <x v="17"/>
    <x v="1"/>
  </r>
  <r>
    <x v="2"/>
    <x v="5"/>
    <x v="18"/>
    <x v="0"/>
  </r>
  <r>
    <x v="2"/>
    <x v="5"/>
    <x v="1"/>
    <x v="138"/>
  </r>
  <r>
    <x v="2"/>
    <x v="5"/>
    <x v="19"/>
    <x v="165"/>
  </r>
  <r>
    <x v="2"/>
    <x v="5"/>
    <x v="20"/>
    <x v="12"/>
  </r>
  <r>
    <x v="2"/>
    <x v="5"/>
    <x v="21"/>
    <x v="24"/>
  </r>
  <r>
    <x v="2"/>
    <x v="5"/>
    <x v="22"/>
    <x v="127"/>
  </r>
  <r>
    <x v="2"/>
    <x v="5"/>
    <x v="23"/>
    <x v="168"/>
  </r>
  <r>
    <x v="2"/>
    <x v="5"/>
    <x v="24"/>
    <x v="9"/>
  </r>
  <r>
    <x v="2"/>
    <x v="5"/>
    <x v="25"/>
    <x v="106"/>
  </r>
  <r>
    <x v="2"/>
    <x v="5"/>
    <x v="26"/>
    <x v="176"/>
  </r>
  <r>
    <x v="2"/>
    <x v="5"/>
    <x v="27"/>
    <x v="16"/>
  </r>
  <r>
    <x v="2"/>
    <x v="5"/>
    <x v="28"/>
    <x v="79"/>
  </r>
  <r>
    <x v="2"/>
    <x v="5"/>
    <x v="29"/>
    <x v="24"/>
  </r>
  <r>
    <x v="2"/>
    <x v="5"/>
    <x v="30"/>
    <x v="174"/>
  </r>
  <r>
    <x v="2"/>
    <x v="5"/>
    <x v="2"/>
    <x v="86"/>
  </r>
  <r>
    <x v="2"/>
    <x v="5"/>
    <x v="3"/>
    <x v="181"/>
  </r>
  <r>
    <x v="2"/>
    <x v="5"/>
    <x v="4"/>
    <x v="53"/>
  </r>
  <r>
    <x v="2"/>
    <x v="5"/>
    <x v="5"/>
    <x v="4"/>
  </r>
  <r>
    <x v="2"/>
    <x v="5"/>
    <x v="6"/>
    <x v="60"/>
  </r>
  <r>
    <x v="2"/>
    <x v="5"/>
    <x v="7"/>
    <x v="110"/>
  </r>
  <r>
    <x v="2"/>
    <x v="5"/>
    <x v="8"/>
    <x v="32"/>
  </r>
  <r>
    <x v="2"/>
    <x v="5"/>
    <x v="9"/>
    <x v="1"/>
  </r>
  <r>
    <x v="2"/>
    <x v="5"/>
    <x v="10"/>
    <x v="145"/>
  </r>
  <r>
    <x v="2"/>
    <x v="5"/>
    <x v="11"/>
    <x v="168"/>
  </r>
  <r>
    <x v="2"/>
    <x v="5"/>
    <x v="0"/>
    <x v="63"/>
  </r>
  <r>
    <x v="2"/>
    <x v="6"/>
    <x v="13"/>
    <x v="181"/>
  </r>
  <r>
    <x v="2"/>
    <x v="6"/>
    <x v="14"/>
    <x v="104"/>
  </r>
  <r>
    <x v="2"/>
    <x v="6"/>
    <x v="15"/>
    <x v="125"/>
  </r>
  <r>
    <x v="2"/>
    <x v="6"/>
    <x v="16"/>
    <x v="6"/>
  </r>
  <r>
    <x v="2"/>
    <x v="6"/>
    <x v="17"/>
    <x v="23"/>
  </r>
  <r>
    <x v="2"/>
    <x v="6"/>
    <x v="18"/>
    <x v="168"/>
  </r>
  <r>
    <x v="2"/>
    <x v="6"/>
    <x v="1"/>
    <x v="20"/>
  </r>
  <r>
    <x v="2"/>
    <x v="6"/>
    <x v="19"/>
    <x v="127"/>
  </r>
  <r>
    <x v="2"/>
    <x v="6"/>
    <x v="20"/>
    <x v="98"/>
  </r>
  <r>
    <x v="2"/>
    <x v="6"/>
    <x v="21"/>
    <x v="143"/>
  </r>
  <r>
    <x v="2"/>
    <x v="6"/>
    <x v="22"/>
    <x v="1"/>
  </r>
  <r>
    <x v="2"/>
    <x v="6"/>
    <x v="23"/>
    <x v="144"/>
  </r>
  <r>
    <x v="2"/>
    <x v="6"/>
    <x v="24"/>
    <x v="139"/>
  </r>
  <r>
    <x v="2"/>
    <x v="6"/>
    <x v="30"/>
    <x v="0"/>
  </r>
  <r>
    <x v="2"/>
    <x v="6"/>
    <x v="2"/>
    <x v="81"/>
  </r>
  <r>
    <x v="2"/>
    <x v="6"/>
    <x v="4"/>
    <x v="176"/>
  </r>
  <r>
    <x v="2"/>
    <x v="6"/>
    <x v="5"/>
    <x v="139"/>
  </r>
  <r>
    <x v="2"/>
    <x v="6"/>
    <x v="8"/>
    <x v="0"/>
  </r>
  <r>
    <x v="2"/>
    <x v="6"/>
    <x v="10"/>
    <x v="1"/>
  </r>
  <r>
    <x v="2"/>
    <x v="6"/>
    <x v="11"/>
    <x v="14"/>
  </r>
  <r>
    <x v="3"/>
    <x v="7"/>
    <x v="15"/>
    <x v="21"/>
  </r>
  <r>
    <x v="3"/>
    <x v="7"/>
    <x v="16"/>
    <x v="125"/>
  </r>
  <r>
    <x v="3"/>
    <x v="7"/>
    <x v="17"/>
    <x v="98"/>
  </r>
  <r>
    <x v="3"/>
    <x v="7"/>
    <x v="20"/>
    <x v="22"/>
  </r>
  <r>
    <x v="3"/>
    <x v="7"/>
    <x v="21"/>
    <x v="5"/>
  </r>
  <r>
    <x v="3"/>
    <x v="7"/>
    <x v="22"/>
    <x v="143"/>
  </r>
  <r>
    <x v="3"/>
    <x v="7"/>
    <x v="23"/>
    <x v="127"/>
  </r>
  <r>
    <x v="3"/>
    <x v="7"/>
    <x v="24"/>
    <x v="0"/>
  </r>
  <r>
    <x v="3"/>
    <x v="7"/>
    <x v="25"/>
    <x v="168"/>
  </r>
  <r>
    <x v="3"/>
    <x v="7"/>
    <x v="26"/>
    <x v="2"/>
  </r>
  <r>
    <x v="3"/>
    <x v="7"/>
    <x v="27"/>
    <x v="63"/>
  </r>
  <r>
    <x v="3"/>
    <x v="7"/>
    <x v="28"/>
    <x v="144"/>
  </r>
  <r>
    <x v="3"/>
    <x v="7"/>
    <x v="29"/>
    <x v="25"/>
  </r>
  <r>
    <x v="3"/>
    <x v="7"/>
    <x v="30"/>
    <x v="143"/>
  </r>
  <r>
    <x v="3"/>
    <x v="7"/>
    <x v="2"/>
    <x v="21"/>
  </r>
  <r>
    <x v="3"/>
    <x v="7"/>
    <x v="3"/>
    <x v="48"/>
  </r>
  <r>
    <x v="3"/>
    <x v="7"/>
    <x v="4"/>
    <x v="125"/>
  </r>
  <r>
    <x v="3"/>
    <x v="7"/>
    <x v="5"/>
    <x v="1"/>
  </r>
  <r>
    <x v="3"/>
    <x v="7"/>
    <x v="6"/>
    <x v="178"/>
  </r>
  <r>
    <x v="3"/>
    <x v="7"/>
    <x v="7"/>
    <x v="0"/>
  </r>
  <r>
    <x v="3"/>
    <x v="7"/>
    <x v="8"/>
    <x v="178"/>
  </r>
  <r>
    <x v="3"/>
    <x v="7"/>
    <x v="9"/>
    <x v="0"/>
  </r>
  <r>
    <x v="3"/>
    <x v="7"/>
    <x v="10"/>
    <x v="14"/>
  </r>
  <r>
    <x v="3"/>
    <x v="7"/>
    <x v="11"/>
    <x v="98"/>
  </r>
  <r>
    <x v="3"/>
    <x v="7"/>
    <x v="0"/>
    <x v="84"/>
  </r>
  <r>
    <x v="3"/>
    <x v="7"/>
    <x v="12"/>
    <x v="40"/>
  </r>
  <r>
    <x v="3"/>
    <x v="8"/>
    <x v="13"/>
    <x v="141"/>
  </r>
  <r>
    <x v="3"/>
    <x v="8"/>
    <x v="14"/>
    <x v="14"/>
  </r>
  <r>
    <x v="3"/>
    <x v="8"/>
    <x v="15"/>
    <x v="176"/>
  </r>
  <r>
    <x v="3"/>
    <x v="8"/>
    <x v="16"/>
    <x v="175"/>
  </r>
  <r>
    <x v="3"/>
    <x v="8"/>
    <x v="17"/>
    <x v="6"/>
  </r>
  <r>
    <x v="3"/>
    <x v="8"/>
    <x v="18"/>
    <x v="178"/>
  </r>
  <r>
    <x v="3"/>
    <x v="8"/>
    <x v="1"/>
    <x v="144"/>
  </r>
  <r>
    <x v="3"/>
    <x v="8"/>
    <x v="19"/>
    <x v="0"/>
  </r>
  <r>
    <x v="3"/>
    <x v="8"/>
    <x v="20"/>
    <x v="0"/>
  </r>
  <r>
    <x v="3"/>
    <x v="8"/>
    <x v="21"/>
    <x v="143"/>
  </r>
  <r>
    <x v="3"/>
    <x v="8"/>
    <x v="24"/>
    <x v="144"/>
  </r>
  <r>
    <x v="3"/>
    <x v="8"/>
    <x v="25"/>
    <x v="20"/>
  </r>
  <r>
    <x v="3"/>
    <x v="8"/>
    <x v="27"/>
    <x v="181"/>
  </r>
  <r>
    <x v="3"/>
    <x v="8"/>
    <x v="28"/>
    <x v="188"/>
  </r>
  <r>
    <x v="3"/>
    <x v="8"/>
    <x v="29"/>
    <x v="5"/>
  </r>
  <r>
    <x v="3"/>
    <x v="8"/>
    <x v="30"/>
    <x v="0"/>
  </r>
  <r>
    <x v="3"/>
    <x v="8"/>
    <x v="2"/>
    <x v="178"/>
  </r>
  <r>
    <x v="3"/>
    <x v="8"/>
    <x v="3"/>
    <x v="0"/>
  </r>
  <r>
    <x v="3"/>
    <x v="8"/>
    <x v="4"/>
    <x v="176"/>
  </r>
  <r>
    <x v="3"/>
    <x v="8"/>
    <x v="5"/>
    <x v="48"/>
  </r>
  <r>
    <x v="3"/>
    <x v="8"/>
    <x v="11"/>
    <x v="0"/>
  </r>
  <r>
    <x v="3"/>
    <x v="9"/>
    <x v="16"/>
    <x v="0"/>
  </r>
  <r>
    <x v="3"/>
    <x v="9"/>
    <x v="17"/>
    <x v="79"/>
  </r>
  <r>
    <x v="3"/>
    <x v="9"/>
    <x v="18"/>
    <x v="0"/>
  </r>
  <r>
    <x v="3"/>
    <x v="9"/>
    <x v="19"/>
    <x v="125"/>
  </r>
  <r>
    <x v="3"/>
    <x v="9"/>
    <x v="20"/>
    <x v="139"/>
  </r>
  <r>
    <x v="3"/>
    <x v="9"/>
    <x v="22"/>
    <x v="0"/>
  </r>
  <r>
    <x v="3"/>
    <x v="9"/>
    <x v="23"/>
    <x v="12"/>
  </r>
  <r>
    <x v="3"/>
    <x v="9"/>
    <x v="24"/>
    <x v="143"/>
  </r>
  <r>
    <x v="3"/>
    <x v="9"/>
    <x v="25"/>
    <x v="178"/>
  </r>
  <r>
    <x v="3"/>
    <x v="9"/>
    <x v="30"/>
    <x v="0"/>
  </r>
  <r>
    <x v="3"/>
    <x v="10"/>
    <x v="3"/>
    <x v="0"/>
  </r>
  <r>
    <x v="3"/>
    <x v="10"/>
    <x v="4"/>
    <x v="1"/>
  </r>
  <r>
    <x v="3"/>
    <x v="10"/>
    <x v="5"/>
    <x v="79"/>
  </r>
  <r>
    <x v="3"/>
    <x v="10"/>
    <x v="6"/>
    <x v="18"/>
  </r>
  <r>
    <x v="3"/>
    <x v="10"/>
    <x v="8"/>
    <x v="141"/>
  </r>
  <r>
    <x v="3"/>
    <x v="10"/>
    <x v="9"/>
    <x v="185"/>
  </r>
  <r>
    <x v="3"/>
    <x v="10"/>
    <x v="10"/>
    <x v="10"/>
  </r>
  <r>
    <x v="3"/>
    <x v="10"/>
    <x v="11"/>
    <x v="15"/>
  </r>
  <r>
    <x v="3"/>
    <x v="10"/>
    <x v="0"/>
    <x v="100"/>
  </r>
  <r>
    <x v="3"/>
    <x v="11"/>
    <x v="13"/>
    <x v="174"/>
  </r>
  <r>
    <x v="3"/>
    <x v="11"/>
    <x v="14"/>
    <x v="189"/>
  </r>
  <r>
    <x v="3"/>
    <x v="11"/>
    <x v="15"/>
    <x v="7"/>
  </r>
  <r>
    <x v="3"/>
    <x v="11"/>
    <x v="16"/>
    <x v="28"/>
  </r>
  <r>
    <x v="3"/>
    <x v="11"/>
    <x v="17"/>
    <x v="22"/>
  </r>
  <r>
    <x v="3"/>
    <x v="11"/>
    <x v="18"/>
    <x v="122"/>
  </r>
  <r>
    <x v="3"/>
    <x v="11"/>
    <x v="1"/>
    <x v="115"/>
  </r>
  <r>
    <x v="3"/>
    <x v="11"/>
    <x v="19"/>
    <x v="47"/>
  </r>
  <r>
    <x v="3"/>
    <x v="11"/>
    <x v="20"/>
    <x v="38"/>
  </r>
  <r>
    <x v="3"/>
    <x v="11"/>
    <x v="21"/>
    <x v="185"/>
  </r>
  <r>
    <x v="3"/>
    <x v="11"/>
    <x v="22"/>
    <x v="32"/>
  </r>
  <r>
    <x v="3"/>
    <x v="11"/>
    <x v="23"/>
    <x v="10"/>
  </r>
  <r>
    <x v="3"/>
    <x v="11"/>
    <x v="24"/>
    <x v="138"/>
  </r>
  <r>
    <x v="3"/>
    <x v="11"/>
    <x v="25"/>
    <x v="67"/>
  </r>
  <r>
    <x v="3"/>
    <x v="11"/>
    <x v="26"/>
    <x v="179"/>
  </r>
  <r>
    <x v="3"/>
    <x v="11"/>
    <x v="27"/>
    <x v="33"/>
  </r>
  <r>
    <x v="3"/>
    <x v="11"/>
    <x v="28"/>
    <x v="22"/>
  </r>
  <r>
    <x v="3"/>
    <x v="11"/>
    <x v="29"/>
    <x v="190"/>
  </r>
  <r>
    <x v="3"/>
    <x v="11"/>
    <x v="30"/>
    <x v="168"/>
  </r>
  <r>
    <x v="3"/>
    <x v="11"/>
    <x v="2"/>
    <x v="168"/>
  </r>
  <r>
    <x v="3"/>
    <x v="11"/>
    <x v="3"/>
    <x v="66"/>
  </r>
  <r>
    <x v="3"/>
    <x v="11"/>
    <x v="4"/>
    <x v="191"/>
  </r>
  <r>
    <x v="3"/>
    <x v="11"/>
    <x v="5"/>
    <x v="110"/>
  </r>
  <r>
    <x v="3"/>
    <x v="11"/>
    <x v="6"/>
    <x v="145"/>
  </r>
  <r>
    <x v="3"/>
    <x v="11"/>
    <x v="7"/>
    <x v="44"/>
  </r>
  <r>
    <x v="3"/>
    <x v="11"/>
    <x v="8"/>
    <x v="176"/>
  </r>
  <r>
    <x v="3"/>
    <x v="11"/>
    <x v="9"/>
    <x v="157"/>
  </r>
  <r>
    <x v="3"/>
    <x v="11"/>
    <x v="10"/>
    <x v="16"/>
  </r>
  <r>
    <x v="3"/>
    <x v="11"/>
    <x v="11"/>
    <x v="192"/>
  </r>
  <r>
    <x v="3"/>
    <x v="11"/>
    <x v="0"/>
    <x v="53"/>
  </r>
  <r>
    <x v="3"/>
    <x v="11"/>
    <x v="12"/>
    <x v="44"/>
  </r>
  <r>
    <x v="3"/>
    <x v="0"/>
    <x v="13"/>
    <x v="142"/>
  </r>
  <r>
    <x v="3"/>
    <x v="0"/>
    <x v="14"/>
    <x v="125"/>
  </r>
  <r>
    <x v="3"/>
    <x v="0"/>
    <x v="15"/>
    <x v="103"/>
  </r>
  <r>
    <x v="3"/>
    <x v="0"/>
    <x v="16"/>
    <x v="175"/>
  </r>
  <r>
    <x v="3"/>
    <x v="0"/>
    <x v="17"/>
    <x v="1"/>
  </r>
  <r>
    <x v="3"/>
    <x v="0"/>
    <x v="18"/>
    <x v="70"/>
  </r>
  <r>
    <x v="3"/>
    <x v="0"/>
    <x v="1"/>
    <x v="14"/>
  </r>
  <r>
    <x v="3"/>
    <x v="0"/>
    <x v="19"/>
    <x v="116"/>
  </r>
  <r>
    <x v="3"/>
    <x v="0"/>
    <x v="20"/>
    <x v="110"/>
  </r>
  <r>
    <x v="3"/>
    <x v="0"/>
    <x v="21"/>
    <x v="12"/>
  </r>
  <r>
    <x v="3"/>
    <x v="0"/>
    <x v="22"/>
    <x v="7"/>
  </r>
  <r>
    <x v="3"/>
    <x v="0"/>
    <x v="23"/>
    <x v="110"/>
  </r>
  <r>
    <x v="3"/>
    <x v="0"/>
    <x v="24"/>
    <x v="88"/>
  </r>
  <r>
    <x v="3"/>
    <x v="0"/>
    <x v="25"/>
    <x v="176"/>
  </r>
  <r>
    <x v="3"/>
    <x v="0"/>
    <x v="26"/>
    <x v="0"/>
  </r>
  <r>
    <x v="3"/>
    <x v="0"/>
    <x v="27"/>
    <x v="188"/>
  </r>
  <r>
    <x v="3"/>
    <x v="0"/>
    <x v="28"/>
    <x v="139"/>
  </r>
  <r>
    <x v="3"/>
    <x v="0"/>
    <x v="29"/>
    <x v="22"/>
  </r>
  <r>
    <x v="3"/>
    <x v="0"/>
    <x v="30"/>
    <x v="24"/>
  </r>
  <r>
    <x v="3"/>
    <x v="0"/>
    <x v="2"/>
    <x v="188"/>
  </r>
  <r>
    <x v="3"/>
    <x v="0"/>
    <x v="4"/>
    <x v="52"/>
  </r>
  <r>
    <x v="3"/>
    <x v="0"/>
    <x v="5"/>
    <x v="0"/>
  </r>
  <r>
    <x v="3"/>
    <x v="0"/>
    <x v="7"/>
    <x v="165"/>
  </r>
  <r>
    <x v="3"/>
    <x v="0"/>
    <x v="8"/>
    <x v="102"/>
  </r>
  <r>
    <x v="3"/>
    <x v="0"/>
    <x v="9"/>
    <x v="6"/>
  </r>
  <r>
    <x v="3"/>
    <x v="0"/>
    <x v="10"/>
    <x v="100"/>
  </r>
  <r>
    <x v="3"/>
    <x v="0"/>
    <x v="11"/>
    <x v="159"/>
  </r>
  <r>
    <x v="3"/>
    <x v="0"/>
    <x v="0"/>
    <x v="98"/>
  </r>
  <r>
    <x v="3"/>
    <x v="1"/>
    <x v="13"/>
    <x v="156"/>
  </r>
  <r>
    <x v="3"/>
    <x v="1"/>
    <x v="14"/>
    <x v="106"/>
  </r>
  <r>
    <x v="3"/>
    <x v="1"/>
    <x v="15"/>
    <x v="192"/>
  </r>
  <r>
    <x v="3"/>
    <x v="1"/>
    <x v="16"/>
    <x v="84"/>
  </r>
  <r>
    <x v="3"/>
    <x v="1"/>
    <x v="17"/>
    <x v="52"/>
  </r>
  <r>
    <x v="3"/>
    <x v="1"/>
    <x v="18"/>
    <x v="119"/>
  </r>
  <r>
    <x v="3"/>
    <x v="1"/>
    <x v="1"/>
    <x v="18"/>
  </r>
  <r>
    <x v="3"/>
    <x v="1"/>
    <x v="19"/>
    <x v="127"/>
  </r>
  <r>
    <x v="3"/>
    <x v="1"/>
    <x v="20"/>
    <x v="26"/>
  </r>
  <r>
    <x v="3"/>
    <x v="1"/>
    <x v="21"/>
    <x v="84"/>
  </r>
  <r>
    <x v="3"/>
    <x v="1"/>
    <x v="23"/>
    <x v="0"/>
  </r>
  <r>
    <x v="3"/>
    <x v="1"/>
    <x v="24"/>
    <x v="4"/>
  </r>
  <r>
    <x v="3"/>
    <x v="1"/>
    <x v="25"/>
    <x v="118"/>
  </r>
  <r>
    <x v="3"/>
    <x v="1"/>
    <x v="26"/>
    <x v="27"/>
  </r>
  <r>
    <x v="3"/>
    <x v="1"/>
    <x v="27"/>
    <x v="18"/>
  </r>
  <r>
    <x v="3"/>
    <x v="1"/>
    <x v="28"/>
    <x v="192"/>
  </r>
  <r>
    <x v="3"/>
    <x v="1"/>
    <x v="29"/>
    <x v="17"/>
  </r>
  <r>
    <x v="3"/>
    <x v="1"/>
    <x v="30"/>
    <x v="60"/>
  </r>
  <r>
    <x v="3"/>
    <x v="1"/>
    <x v="2"/>
    <x v="38"/>
  </r>
  <r>
    <x v="3"/>
    <x v="1"/>
    <x v="3"/>
    <x v="179"/>
  </r>
  <r>
    <x v="3"/>
    <x v="1"/>
    <x v="4"/>
    <x v="8"/>
  </r>
  <r>
    <x v="3"/>
    <x v="1"/>
    <x v="5"/>
    <x v="24"/>
  </r>
  <r>
    <x v="3"/>
    <x v="1"/>
    <x v="6"/>
    <x v="43"/>
  </r>
  <r>
    <x v="3"/>
    <x v="1"/>
    <x v="7"/>
    <x v="6"/>
  </r>
  <r>
    <x v="3"/>
    <x v="1"/>
    <x v="8"/>
    <x v="186"/>
  </r>
  <r>
    <x v="3"/>
    <x v="1"/>
    <x v="9"/>
    <x v="42"/>
  </r>
  <r>
    <x v="3"/>
    <x v="1"/>
    <x v="10"/>
    <x v="33"/>
  </r>
  <r>
    <x v="3"/>
    <x v="1"/>
    <x v="11"/>
    <x v="9"/>
  </r>
  <r>
    <x v="3"/>
    <x v="1"/>
    <x v="0"/>
    <x v="24"/>
  </r>
  <r>
    <x v="3"/>
    <x v="1"/>
    <x v="12"/>
    <x v="64"/>
  </r>
  <r>
    <x v="3"/>
    <x v="2"/>
    <x v="13"/>
    <x v="0"/>
  </r>
  <r>
    <x v="4"/>
    <x v="12"/>
    <x v="31"/>
    <x v="1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 _x000a_dinámica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A3:C17" firstHeaderRow="1" firstDataRow="2" firstDataCol="1"/>
  <pivotFields count="4">
    <pivotField axis="axisCol" compact="0" multipleItemSelectionAllowed="1" showAll="0">
      <items count="5">
        <item h="1" x="0"/>
        <item h="1" x="1"/>
        <item x="2"/>
        <item h="1" x="3"/>
        <item t="default"/>
      </items>
    </pivotField>
    <pivotField axis="axisRow" compact="0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compact="0" showAll="0">
      <items count="32"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dataField="1" compact="0" showAll="0">
      <items count="194">
        <item x="0"/>
        <item x="188"/>
        <item x="25"/>
        <item x="143"/>
        <item x="178"/>
        <item x="48"/>
        <item x="98"/>
        <item x="145"/>
        <item x="174"/>
        <item x="144"/>
        <item x="181"/>
        <item x="183"/>
        <item x="21"/>
        <item x="165"/>
        <item x="139"/>
        <item x="18"/>
        <item x="141"/>
        <item x="125"/>
        <item x="127"/>
        <item x="1"/>
        <item x="20"/>
        <item x="14"/>
        <item x="138"/>
        <item x="176"/>
        <item x="175"/>
        <item x="123"/>
        <item x="168"/>
        <item x="63"/>
        <item x="6"/>
        <item x="103"/>
        <item x="128"/>
        <item x="104"/>
        <item x="19"/>
        <item x="24"/>
        <item x="147"/>
        <item x="12"/>
        <item x="171"/>
        <item x="22"/>
        <item x="79"/>
        <item x="132"/>
        <item x="84"/>
        <item x="179"/>
        <item x="2"/>
        <item x="40"/>
        <item x="27"/>
        <item x="17"/>
        <item x="32"/>
        <item x="37"/>
        <item x="16"/>
        <item x="11"/>
        <item x="26"/>
        <item x="23"/>
        <item x="120"/>
        <item x="15"/>
        <item x="136"/>
        <item x="118"/>
        <item x="185"/>
        <item x="110"/>
        <item x="129"/>
        <item x="53"/>
        <item x="5"/>
        <item x="99"/>
        <item x="8"/>
        <item x="7"/>
        <item x="100"/>
        <item x="31"/>
        <item x="106"/>
        <item x="10"/>
        <item x="52"/>
        <item x="167"/>
        <item x="102"/>
        <item x="33"/>
        <item x="153"/>
        <item x="81"/>
        <item x="64"/>
        <item x="58"/>
        <item x="86"/>
        <item x="4"/>
        <item x="115"/>
        <item x="9"/>
        <item x="3"/>
        <item x="61"/>
        <item x="192"/>
        <item x="38"/>
        <item x="82"/>
        <item x="77"/>
        <item x="44"/>
        <item x="51"/>
        <item x="47"/>
        <item x="170"/>
        <item x="42"/>
        <item x="97"/>
        <item x="66"/>
        <item x="119"/>
        <item x="152"/>
        <item x="107"/>
        <item x="70"/>
        <item x="28"/>
        <item x="155"/>
        <item x="122"/>
        <item x="180"/>
        <item x="29"/>
        <item x="41"/>
        <item x="148"/>
        <item x="134"/>
        <item x="45"/>
        <item x="157"/>
        <item x="101"/>
        <item x="105"/>
        <item x="150"/>
        <item x="78"/>
        <item x="137"/>
        <item x="111"/>
        <item x="55"/>
        <item x="36"/>
        <item x="50"/>
        <item x="67"/>
        <item x="60"/>
        <item x="88"/>
        <item x="131"/>
        <item x="34"/>
        <item x="142"/>
        <item x="92"/>
        <item x="149"/>
        <item x="156"/>
        <item x="56"/>
        <item x="30"/>
        <item x="113"/>
        <item x="135"/>
        <item x="133"/>
        <item x="49"/>
        <item x="43"/>
        <item x="39"/>
        <item x="124"/>
        <item x="146"/>
        <item x="54"/>
        <item x="190"/>
        <item x="116"/>
        <item x="114"/>
        <item x="13"/>
        <item x="173"/>
        <item x="96"/>
        <item x="186"/>
        <item x="69"/>
        <item x="93"/>
        <item x="35"/>
        <item x="160"/>
        <item x="117"/>
        <item x="57"/>
        <item x="187"/>
        <item x="62"/>
        <item x="189"/>
        <item x="59"/>
        <item x="169"/>
        <item x="121"/>
        <item x="72"/>
        <item x="75"/>
        <item x="109"/>
        <item x="80"/>
        <item x="182"/>
        <item x="159"/>
        <item x="95"/>
        <item x="164"/>
        <item x="73"/>
        <item x="126"/>
        <item x="90"/>
        <item x="130"/>
        <item x="85"/>
        <item x="76"/>
        <item x="83"/>
        <item x="46"/>
        <item x="112"/>
        <item x="108"/>
        <item x="151"/>
        <item x="65"/>
        <item x="166"/>
        <item x="89"/>
        <item x="140"/>
        <item x="172"/>
        <item x="87"/>
        <item x="154"/>
        <item x="94"/>
        <item x="184"/>
        <item x="68"/>
        <item x="74"/>
        <item x="177"/>
        <item x="71"/>
        <item x="191"/>
        <item x="162"/>
        <item x="91"/>
        <item x="158"/>
        <item x="161"/>
        <item x="16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">
    <i>
      <x v="2"/>
    </i>
    <i t="grand">
      <x/>
    </i>
  </colItems>
  <dataFields count="1">
    <dataField name="Suma de Monto" fld="3" baseField="0" baseItem="0" numFmtId="179"/>
  </dataFields>
  <pivotTableStyleInfo name="PivotStylePreset2_Accent1" showRowHeaders="1" showColHeaders="1"/>
</pivotTableDefinition>
</file>

<file path=xl/pivotTables/pivotTable2.xml><?xml version="1.0" encoding="utf-8"?>
<pivotTableDefinition xmlns="http://schemas.openxmlformats.org/spreadsheetml/2006/main" name="Tabla _x000a_dinámica2" cacheId="1" autoFormatId="1" applyNumberFormats="0" applyBorderFormats="0" applyFontFormats="0" applyPatternFormats="0" applyAlignmentFormats="0" applyWidthHeightFormats="1" dataCaption="Valores" updatedVersion="5" minRefreshableVersion="1" createdVersion="1" useAutoFormatting="1" compact="0" indent="0" compactData="0" gridDropZones="1" showDrill="1" multipleFieldFilters="0" chartFormat="2">
  <location ref="A29:B36" firstHeaderRow="2" firstDataRow="2" firstDataCol="1"/>
  <pivotFields count="4">
    <pivotField axis="axisRow" compact="0" outline="0" subtotalTop="0" multipleItemSelectionAllowed="1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14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x="12"/>
        <item t="default"/>
      </items>
    </pivotField>
    <pivotField compact="0" outline="0" subtotalTop="0" showAll="0" includeNewItemsInFilter="1">
      <items count="33"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x="31"/>
        <item t="default"/>
      </items>
    </pivotField>
    <pivotField dataField="1" compact="0" outline="0" subtotalTop="0" showAll="0" includeNewItemsInFilter="1">
      <items count="195">
        <item x="0"/>
        <item x="188"/>
        <item x="25"/>
        <item x="143"/>
        <item x="178"/>
        <item x="48"/>
        <item x="98"/>
        <item x="145"/>
        <item x="174"/>
        <item x="144"/>
        <item x="181"/>
        <item x="183"/>
        <item x="21"/>
        <item x="165"/>
        <item x="139"/>
        <item x="18"/>
        <item x="141"/>
        <item x="125"/>
        <item x="127"/>
        <item x="1"/>
        <item x="20"/>
        <item x="14"/>
        <item x="138"/>
        <item x="176"/>
        <item x="175"/>
        <item x="123"/>
        <item x="168"/>
        <item x="63"/>
        <item x="6"/>
        <item x="103"/>
        <item x="128"/>
        <item x="104"/>
        <item x="19"/>
        <item x="24"/>
        <item x="147"/>
        <item x="12"/>
        <item x="171"/>
        <item x="22"/>
        <item x="79"/>
        <item x="132"/>
        <item x="84"/>
        <item x="179"/>
        <item x="2"/>
        <item x="40"/>
        <item x="27"/>
        <item x="17"/>
        <item x="32"/>
        <item x="37"/>
        <item x="16"/>
        <item x="11"/>
        <item x="26"/>
        <item x="23"/>
        <item x="120"/>
        <item x="15"/>
        <item x="136"/>
        <item x="118"/>
        <item x="185"/>
        <item x="110"/>
        <item x="129"/>
        <item x="53"/>
        <item x="5"/>
        <item x="99"/>
        <item x="8"/>
        <item x="7"/>
        <item x="100"/>
        <item x="31"/>
        <item x="106"/>
        <item x="10"/>
        <item x="52"/>
        <item x="167"/>
        <item x="102"/>
        <item x="33"/>
        <item x="153"/>
        <item x="81"/>
        <item x="64"/>
        <item x="58"/>
        <item x="86"/>
        <item x="4"/>
        <item x="115"/>
        <item x="9"/>
        <item x="3"/>
        <item x="61"/>
        <item x="192"/>
        <item x="38"/>
        <item x="82"/>
        <item x="77"/>
        <item x="44"/>
        <item x="51"/>
        <item x="47"/>
        <item x="170"/>
        <item x="42"/>
        <item x="97"/>
        <item x="66"/>
        <item x="119"/>
        <item x="152"/>
        <item x="107"/>
        <item x="70"/>
        <item x="28"/>
        <item x="155"/>
        <item x="122"/>
        <item x="180"/>
        <item x="29"/>
        <item x="41"/>
        <item x="148"/>
        <item x="134"/>
        <item x="45"/>
        <item x="157"/>
        <item x="101"/>
        <item x="105"/>
        <item x="150"/>
        <item x="78"/>
        <item x="137"/>
        <item x="111"/>
        <item x="55"/>
        <item x="36"/>
        <item x="50"/>
        <item x="67"/>
        <item x="60"/>
        <item x="88"/>
        <item x="131"/>
        <item x="34"/>
        <item x="142"/>
        <item x="92"/>
        <item x="149"/>
        <item x="156"/>
        <item x="56"/>
        <item x="30"/>
        <item x="113"/>
        <item x="135"/>
        <item x="133"/>
        <item x="49"/>
        <item x="43"/>
        <item x="39"/>
        <item x="124"/>
        <item x="146"/>
        <item x="54"/>
        <item x="190"/>
        <item x="116"/>
        <item x="114"/>
        <item x="13"/>
        <item x="173"/>
        <item x="96"/>
        <item x="186"/>
        <item x="69"/>
        <item x="93"/>
        <item x="35"/>
        <item x="160"/>
        <item x="117"/>
        <item x="57"/>
        <item x="187"/>
        <item x="62"/>
        <item x="189"/>
        <item x="59"/>
        <item x="169"/>
        <item x="121"/>
        <item x="72"/>
        <item x="75"/>
        <item x="109"/>
        <item x="80"/>
        <item x="182"/>
        <item x="159"/>
        <item x="95"/>
        <item x="164"/>
        <item x="73"/>
        <item x="126"/>
        <item x="90"/>
        <item x="130"/>
        <item x="85"/>
        <item x="76"/>
        <item x="83"/>
        <item x="46"/>
        <item x="112"/>
        <item x="108"/>
        <item x="151"/>
        <item x="65"/>
        <item x="166"/>
        <item x="89"/>
        <item x="140"/>
        <item x="172"/>
        <item x="87"/>
        <item x="154"/>
        <item x="94"/>
        <item x="184"/>
        <item x="68"/>
        <item x="74"/>
        <item x="177"/>
        <item x="71"/>
        <item x="191"/>
        <item x="162"/>
        <item x="91"/>
        <item x="158"/>
        <item x="161"/>
        <item x="163"/>
        <item x="19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Monto" fld="3" baseField="0" baseItem="0" numFmtId="4"/>
  </dataFields>
  <pivotTableStyleInfo showRowHeaders="1" showColHeaders="1"/>
</pivotTableDefinition>
</file>

<file path=xl/pivotTables/pivotTable3.xml><?xml version="1.0" encoding="utf-8"?>
<pivotTableDefinition xmlns="http://schemas.openxmlformats.org/spreadsheetml/2006/main" name="Tabla _x000a_dinámica6" cacheId="2" autoFormatId="1" applyNumberFormats="0" applyBorderFormats="0" applyFontFormats="0" applyPatternFormats="0" applyAlignmentFormats="0" applyWidthHeightFormats="1" dataCaption="Valores" updatedVersion="5" minRefreshableVersion="1" createdVersion="1" useAutoFormatting="1" compact="0" indent="0" compactData="0" gridDropZones="1" showDrill="1" multipleFieldFilters="0" chartFormat="2">
  <location ref="V29:W36" firstHeaderRow="2" firstDataRow="2" firstDataCol="1"/>
  <pivotFields count="2">
    <pivotField axis="axisRow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dataField="1" compact="0" outline="0" subtotalTop="0" showAll="0" includeNewItemsInFilter="1">
      <items count="6">
        <item x="3"/>
        <item x="0"/>
        <item x="2"/>
        <item x="1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GANANCIA" fld="1" baseField="0" baseItem="0" numFmtId="4"/>
  </dataFields>
  <pivotTableStyleInfo showRowHeaders="1" showColHeaders="1"/>
</pivotTableDefinition>
</file>

<file path=xl/tables/table1.xml><?xml version="1.0" encoding="utf-8"?>
<table xmlns="http://schemas.openxmlformats.org/spreadsheetml/2006/main" id="2" name="Tabla2" displayName="Tabla2" ref="A1:D2" totalsRowShown="0">
  <autoFilter ref="A1:D2"/>
  <tableColumns count="4">
    <tableColumn id="1" name="año"/>
    <tableColumn id="2" name="mes"/>
    <tableColumn id="3" name="dia"/>
    <tableColumn id="4" name="Monto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I19" sqref="I19"/>
    </sheetView>
  </sheetViews>
  <sheetFormatPr defaultColWidth="9.14285714285714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W45"/>
  <sheetViews>
    <sheetView zoomScale="85" zoomScaleNormal="85" workbookViewId="0">
      <selection activeCell="B5" sqref="B5"/>
    </sheetView>
  </sheetViews>
  <sheetFormatPr defaultColWidth="9.14285714285714" defaultRowHeight="15"/>
  <cols>
    <col min="1" max="1" width="16.2857142857143"/>
    <col min="2" max="2" width="11.8571428571429"/>
    <col min="3" max="3" width="13.5714285714286"/>
    <col min="4" max="5" width="11.8571428571429"/>
    <col min="6" max="6" width="13.5714285714286"/>
    <col min="7" max="14" width="11.5714285714286"/>
    <col min="15" max="15" width="13.5714285714286"/>
    <col min="16" max="16" width="6.57142857142857"/>
    <col min="17" max="17" width="7.14285714285714"/>
    <col min="18" max="20" width="6.57142857142857"/>
    <col min="21" max="21" width="7.14285714285714"/>
    <col min="22" max="22" width="20.4285714285714"/>
    <col min="23" max="23" width="13.5714285714286"/>
    <col min="24" max="27" width="13.4285714285714"/>
    <col min="28" max="28" width="13.5714285714286"/>
    <col min="29" max="30" width="6.57142857142857"/>
    <col min="31" max="31" width="7.14285714285714"/>
    <col min="32" max="33" width="6.57142857142857"/>
    <col min="34" max="35" width="6.57142857142857"/>
    <col min="36" max="36" width="7.14285714285714"/>
    <col min="37" max="38" width="6.57142857142857"/>
    <col min="39" max="39" width="7.14285714285714"/>
    <col min="40" max="42" width="6.57142857142857"/>
    <col min="43" max="43" width="8.14285714285714"/>
    <col min="44" max="46" width="6.57142857142857"/>
    <col min="47" max="47" width="8.14285714285714"/>
    <col min="48" max="50" width="6.57142857142857"/>
    <col min="51" max="51" width="8.14285714285714"/>
    <col min="52" max="52" width="13.5238095238095"/>
    <col min="53" max="53" width="16.7142857142857"/>
    <col min="54" max="54" width="13.5714285714286"/>
    <col min="55" max="195" width="11.5714285714286"/>
    <col min="196" max="196" width="13.5714285714286"/>
  </cols>
  <sheetData>
    <row r="3" spans="1:2">
      <c r="A3" t="s">
        <v>4</v>
      </c>
      <c r="B3" t="s">
        <v>0</v>
      </c>
    </row>
    <row r="4" spans="1:3">
      <c r="A4" t="s">
        <v>1</v>
      </c>
      <c r="B4">
        <v>2023</v>
      </c>
      <c r="C4" t="s">
        <v>5</v>
      </c>
    </row>
    <row r="5" spans="1:3">
      <c r="A5">
        <v>1</v>
      </c>
      <c r="B5" s="13">
        <v>30470</v>
      </c>
      <c r="C5" s="13">
        <v>30470</v>
      </c>
    </row>
    <row r="6" spans="1:3">
      <c r="A6">
        <v>2</v>
      </c>
      <c r="B6" s="13">
        <v>26550</v>
      </c>
      <c r="C6" s="13">
        <v>26550</v>
      </c>
    </row>
    <row r="7" spans="1:3">
      <c r="A7">
        <v>3</v>
      </c>
      <c r="B7" s="13">
        <v>31140</v>
      </c>
      <c r="C7" s="13">
        <v>31140</v>
      </c>
    </row>
    <row r="8" spans="1:3">
      <c r="A8">
        <v>4</v>
      </c>
      <c r="B8" s="13">
        <v>18960</v>
      </c>
      <c r="C8" s="13">
        <v>18960</v>
      </c>
    </row>
    <row r="9" spans="1:3">
      <c r="A9">
        <v>5</v>
      </c>
      <c r="B9" s="13">
        <v>9420</v>
      </c>
      <c r="C9" s="13">
        <v>9420</v>
      </c>
    </row>
    <row r="10" spans="1:3">
      <c r="A10">
        <v>6</v>
      </c>
      <c r="B10" s="13">
        <v>10370</v>
      </c>
      <c r="C10" s="13">
        <v>10370</v>
      </c>
    </row>
    <row r="11" spans="1:3">
      <c r="A11">
        <v>7</v>
      </c>
      <c r="B11" s="13">
        <v>7725</v>
      </c>
      <c r="C11" s="13">
        <v>7725</v>
      </c>
    </row>
    <row r="12" spans="1:3">
      <c r="A12">
        <v>8</v>
      </c>
      <c r="B12" s="13">
        <v>24780</v>
      </c>
      <c r="C12" s="13">
        <v>24780</v>
      </c>
    </row>
    <row r="13" spans="1:3">
      <c r="A13">
        <v>9</v>
      </c>
      <c r="B13" s="13">
        <v>22395</v>
      </c>
      <c r="C13" s="13">
        <v>22395</v>
      </c>
    </row>
    <row r="14" spans="1:3">
      <c r="A14">
        <v>10</v>
      </c>
      <c r="B14" s="13">
        <v>14145</v>
      </c>
      <c r="C14" s="13">
        <v>14145</v>
      </c>
    </row>
    <row r="15" spans="1:3">
      <c r="A15">
        <v>11</v>
      </c>
      <c r="B15" s="13">
        <v>13800</v>
      </c>
      <c r="C15" s="13">
        <v>13800</v>
      </c>
    </row>
    <row r="16" spans="1:3">
      <c r="A16">
        <v>12</v>
      </c>
      <c r="B16" s="13">
        <v>5580</v>
      </c>
      <c r="C16" s="13">
        <v>5580</v>
      </c>
    </row>
    <row r="17" spans="1:3">
      <c r="A17" t="s">
        <v>5</v>
      </c>
      <c r="B17" s="13">
        <v>215335</v>
      </c>
      <c r="C17" s="13">
        <v>215335</v>
      </c>
    </row>
    <row r="29" spans="1:23">
      <c r="A29" s="14" t="s">
        <v>4</v>
      </c>
      <c r="B29" s="15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14" t="s">
        <v>6</v>
      </c>
      <c r="W29" s="15"/>
    </row>
    <row r="30" spans="1:23">
      <c r="A30" s="14" t="s">
        <v>0</v>
      </c>
      <c r="B30" s="16" t="s">
        <v>5</v>
      </c>
      <c r="C30"/>
      <c r="D30" t="s">
        <v>7</v>
      </c>
      <c r="E30" t="s">
        <v>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s="14" t="s">
        <v>7</v>
      </c>
      <c r="W30" s="16" t="s">
        <v>5</v>
      </c>
    </row>
    <row r="31" spans="1:23">
      <c r="A31" s="14">
        <v>2021</v>
      </c>
      <c r="B31" s="17">
        <v>205860</v>
      </c>
      <c r="C31"/>
      <c r="D31" s="14">
        <v>2021</v>
      </c>
      <c r="E31" s="17">
        <v>205860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s="14">
        <v>2021</v>
      </c>
      <c r="W31" s="17">
        <v>205860</v>
      </c>
    </row>
    <row r="32" spans="1:23">
      <c r="A32" s="18">
        <v>2022</v>
      </c>
      <c r="B32" s="19">
        <v>233675</v>
      </c>
      <c r="C32"/>
      <c r="D32" s="20">
        <v>2022</v>
      </c>
      <c r="E32" s="19">
        <v>233675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s="18">
        <v>2022</v>
      </c>
      <c r="W32" s="19">
        <v>233675</v>
      </c>
    </row>
    <row r="33" spans="1:23">
      <c r="A33" s="18">
        <v>2023</v>
      </c>
      <c r="B33" s="19">
        <v>215335</v>
      </c>
      <c r="C33"/>
      <c r="D33" s="20">
        <v>2023</v>
      </c>
      <c r="E33" s="19">
        <v>215335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s="18">
        <v>2023</v>
      </c>
      <c r="W33" s="19">
        <v>215335</v>
      </c>
    </row>
    <row r="34" spans="1:23">
      <c r="A34" s="18">
        <v>2024</v>
      </c>
      <c r="B34" s="19">
        <v>89295</v>
      </c>
      <c r="C34"/>
      <c r="D34" s="20">
        <v>2024</v>
      </c>
      <c r="E34" s="19">
        <v>89295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s="18">
        <v>2024</v>
      </c>
      <c r="W34" s="19">
        <v>89295</v>
      </c>
    </row>
    <row r="35" spans="1:23">
      <c r="A35" s="18" t="s">
        <v>9</v>
      </c>
      <c r="B35" s="19"/>
      <c r="C35"/>
      <c r="D35">
        <v>2025</v>
      </c>
      <c r="E35">
        <v>366000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s="18">
        <v>2025</v>
      </c>
      <c r="W35" s="19">
        <v>366000</v>
      </c>
    </row>
    <row r="36" spans="1:23">
      <c r="A36" s="21" t="s">
        <v>5</v>
      </c>
      <c r="B36" s="22">
        <v>744165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s="21" t="s">
        <v>5</v>
      </c>
      <c r="W36" s="22">
        <v>1110165</v>
      </c>
    </row>
    <row r="45" spans="4:7">
      <c r="D45" s="23">
        <f>215335/12</f>
        <v>17944.5833333333</v>
      </c>
      <c r="E45" s="23">
        <f>89295/7</f>
        <v>12756.4285714286</v>
      </c>
      <c r="F45" s="24"/>
      <c r="G45" s="25">
        <v>744165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7"/>
  <sheetViews>
    <sheetView tabSelected="1" zoomScaleSheetLayoutView="60" workbookViewId="0">
      <pane ySplit="1" topLeftCell="A365" activePane="bottomLeft" state="frozen"/>
      <selection/>
      <selection pane="bottomLeft" activeCell="M372" sqref="M372"/>
    </sheetView>
  </sheetViews>
  <sheetFormatPr defaultColWidth="10.2857142857143" defaultRowHeight="15"/>
  <cols>
    <col min="1" max="2" width="5.42857142857143" customWidth="1"/>
    <col min="3" max="3" width="4.28571428571429" customWidth="1"/>
    <col min="4" max="4" width="7.42857142857143" style="1" customWidth="1"/>
    <col min="5" max="5" width="12.8571428571429" style="2" customWidth="1"/>
    <col min="6" max="6" width="0.857142857142857" style="2" hidden="1" customWidth="1"/>
    <col min="7" max="7" width="16" style="2" customWidth="1"/>
    <col min="12" max="12" width="17.5714285714286" customWidth="1"/>
    <col min="13" max="13" width="16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2" t="s">
        <v>10</v>
      </c>
      <c r="G1" s="2" t="s">
        <v>11</v>
      </c>
      <c r="H1" t="s">
        <v>12</v>
      </c>
      <c r="I1" t="s">
        <v>13</v>
      </c>
      <c r="J1" t="s">
        <v>14</v>
      </c>
    </row>
    <row r="2" spans="1:13">
      <c r="A2">
        <v>2021</v>
      </c>
      <c r="B2">
        <v>6</v>
      </c>
      <c r="C2">
        <v>30</v>
      </c>
      <c r="D2" s="1">
        <v>0</v>
      </c>
      <c r="J2" s="2" t="s">
        <v>15</v>
      </c>
      <c r="K2" s="2" t="s">
        <v>16</v>
      </c>
      <c r="L2" s="2" t="s">
        <v>17</v>
      </c>
      <c r="M2" t="s">
        <v>18</v>
      </c>
    </row>
    <row r="3" spans="1:13">
      <c r="A3">
        <v>2021</v>
      </c>
      <c r="B3">
        <v>7</v>
      </c>
      <c r="C3">
        <v>7</v>
      </c>
      <c r="D3" s="1">
        <v>0</v>
      </c>
      <c r="J3" s="2">
        <f ca="1">COUNTIF(D:D,"0")</f>
        <v>44</v>
      </c>
      <c r="K3" s="3">
        <f ca="1">AVERAGE(D:D)</f>
        <v>849.503424657534</v>
      </c>
      <c r="L3" s="2">
        <f>AVERAGE(D847:D876)</f>
        <v>850.5</v>
      </c>
      <c r="M3" s="4">
        <f ca="1">AVERAGEIF(D:D,"&gt;0")</f>
        <v>894.429086538462</v>
      </c>
    </row>
    <row r="4" spans="1:4">
      <c r="A4">
        <v>2021</v>
      </c>
      <c r="B4">
        <v>7</v>
      </c>
      <c r="C4">
        <v>20</v>
      </c>
      <c r="D4" s="1">
        <v>270</v>
      </c>
    </row>
    <row r="5" spans="1:4">
      <c r="A5">
        <v>2021</v>
      </c>
      <c r="B5">
        <v>7</v>
      </c>
      <c r="C5">
        <v>21</v>
      </c>
      <c r="D5" s="1">
        <v>555</v>
      </c>
    </row>
    <row r="6" spans="1:4">
      <c r="A6">
        <v>2021</v>
      </c>
      <c r="B6">
        <v>7</v>
      </c>
      <c r="C6">
        <v>22</v>
      </c>
      <c r="D6" s="1">
        <v>1065</v>
      </c>
    </row>
    <row r="7" spans="1:4">
      <c r="A7">
        <v>2021</v>
      </c>
      <c r="B7">
        <v>7</v>
      </c>
      <c r="C7">
        <v>23</v>
      </c>
      <c r="D7" s="1">
        <v>1020</v>
      </c>
    </row>
    <row r="8" spans="1:4">
      <c r="A8">
        <v>2021</v>
      </c>
      <c r="B8">
        <v>7</v>
      </c>
      <c r="C8">
        <v>24</v>
      </c>
      <c r="D8" s="1">
        <v>780</v>
      </c>
    </row>
    <row r="9" spans="1:4">
      <c r="A9">
        <v>2021</v>
      </c>
      <c r="B9">
        <v>7</v>
      </c>
      <c r="C9">
        <v>25</v>
      </c>
      <c r="D9" s="1">
        <v>390</v>
      </c>
    </row>
    <row r="10" spans="1:4">
      <c r="A10">
        <v>2021</v>
      </c>
      <c r="B10">
        <v>7</v>
      </c>
      <c r="C10">
        <v>26</v>
      </c>
      <c r="D10" s="1">
        <v>825</v>
      </c>
    </row>
    <row r="11" spans="1:4">
      <c r="A11">
        <v>2021</v>
      </c>
      <c r="B11">
        <v>7</v>
      </c>
      <c r="C11">
        <v>27</v>
      </c>
      <c r="D11" s="1">
        <v>780</v>
      </c>
    </row>
    <row r="12" spans="1:4">
      <c r="A12">
        <v>2021</v>
      </c>
      <c r="B12">
        <v>7</v>
      </c>
      <c r="C12">
        <v>28</v>
      </c>
      <c r="D12" s="1">
        <v>810</v>
      </c>
    </row>
    <row r="13" spans="1:4">
      <c r="A13">
        <v>2021</v>
      </c>
      <c r="B13">
        <v>7</v>
      </c>
      <c r="C13">
        <v>29</v>
      </c>
      <c r="D13" s="1">
        <v>1050</v>
      </c>
    </row>
    <row r="14" spans="1:4">
      <c r="A14">
        <v>2021</v>
      </c>
      <c r="B14">
        <v>7</v>
      </c>
      <c r="C14">
        <v>30</v>
      </c>
      <c r="D14" s="1">
        <v>885</v>
      </c>
    </row>
    <row r="15" spans="1:4">
      <c r="A15">
        <v>2021</v>
      </c>
      <c r="B15">
        <v>7</v>
      </c>
      <c r="C15">
        <v>31</v>
      </c>
      <c r="D15" s="1">
        <v>390</v>
      </c>
    </row>
    <row r="16" spans="1:4">
      <c r="A16">
        <v>2021</v>
      </c>
      <c r="B16">
        <v>8</v>
      </c>
      <c r="C16">
        <v>1</v>
      </c>
      <c r="D16" s="1">
        <v>660</v>
      </c>
    </row>
    <row r="17" spans="1:4">
      <c r="A17">
        <v>2021</v>
      </c>
      <c r="B17">
        <v>8</v>
      </c>
      <c r="C17">
        <v>2</v>
      </c>
      <c r="D17" s="1">
        <v>465</v>
      </c>
    </row>
    <row r="18" spans="1:4">
      <c r="A18">
        <v>2021</v>
      </c>
      <c r="B18">
        <v>8</v>
      </c>
      <c r="C18">
        <v>3</v>
      </c>
      <c r="D18" s="1">
        <v>1920</v>
      </c>
    </row>
    <row r="19" spans="1:4">
      <c r="A19">
        <v>2021</v>
      </c>
      <c r="B19">
        <v>8</v>
      </c>
      <c r="C19">
        <v>4</v>
      </c>
      <c r="D19" s="1">
        <v>300</v>
      </c>
    </row>
    <row r="20" spans="1:4">
      <c r="A20">
        <v>2021</v>
      </c>
      <c r="B20">
        <v>8</v>
      </c>
      <c r="C20">
        <v>5</v>
      </c>
      <c r="D20" s="1">
        <v>705</v>
      </c>
    </row>
    <row r="21" spans="1:4">
      <c r="A21">
        <v>2021</v>
      </c>
      <c r="B21">
        <v>8</v>
      </c>
      <c r="C21">
        <v>6</v>
      </c>
      <c r="D21" s="1">
        <v>645</v>
      </c>
    </row>
    <row r="22" spans="1:4">
      <c r="A22">
        <v>2021</v>
      </c>
      <c r="B22">
        <v>8</v>
      </c>
      <c r="C22">
        <v>7</v>
      </c>
      <c r="D22" s="1">
        <v>600</v>
      </c>
    </row>
    <row r="23" spans="1:4">
      <c r="A23">
        <v>2021</v>
      </c>
      <c r="B23">
        <v>8</v>
      </c>
      <c r="C23">
        <v>8</v>
      </c>
      <c r="D23" s="1">
        <v>210</v>
      </c>
    </row>
    <row r="24" spans="1:4">
      <c r="A24">
        <v>2021</v>
      </c>
      <c r="B24">
        <v>8</v>
      </c>
      <c r="C24">
        <v>9</v>
      </c>
      <c r="D24" s="1">
        <v>705</v>
      </c>
    </row>
    <row r="25" spans="1:4">
      <c r="A25">
        <v>2021</v>
      </c>
      <c r="B25">
        <v>8</v>
      </c>
      <c r="C25">
        <v>10</v>
      </c>
      <c r="D25" s="1">
        <v>435</v>
      </c>
    </row>
    <row r="26" spans="1:4">
      <c r="A26">
        <v>2021</v>
      </c>
      <c r="B26">
        <v>8</v>
      </c>
      <c r="C26">
        <v>11</v>
      </c>
      <c r="D26" s="1">
        <v>285</v>
      </c>
    </row>
    <row r="27" spans="1:4">
      <c r="A27">
        <v>2021</v>
      </c>
      <c r="B27">
        <v>8</v>
      </c>
      <c r="C27">
        <v>12</v>
      </c>
      <c r="D27" s="1">
        <v>165</v>
      </c>
    </row>
    <row r="28" spans="1:4">
      <c r="A28">
        <v>2021</v>
      </c>
      <c r="B28">
        <v>8</v>
      </c>
      <c r="C28">
        <v>13</v>
      </c>
      <c r="D28" s="1">
        <v>495</v>
      </c>
    </row>
    <row r="29" spans="1:4">
      <c r="A29">
        <v>2021</v>
      </c>
      <c r="B29">
        <v>8</v>
      </c>
      <c r="C29">
        <v>14</v>
      </c>
      <c r="D29" s="1">
        <v>690</v>
      </c>
    </row>
    <row r="30" spans="1:4">
      <c r="A30">
        <v>2021</v>
      </c>
      <c r="B30">
        <v>8</v>
      </c>
      <c r="C30">
        <v>15</v>
      </c>
      <c r="D30" s="1">
        <v>600</v>
      </c>
    </row>
    <row r="31" spans="1:4">
      <c r="A31">
        <v>2021</v>
      </c>
      <c r="B31">
        <v>8</v>
      </c>
      <c r="C31">
        <v>16</v>
      </c>
      <c r="D31" s="1">
        <v>450</v>
      </c>
    </row>
    <row r="32" spans="1:4">
      <c r="A32">
        <v>2021</v>
      </c>
      <c r="B32">
        <v>8</v>
      </c>
      <c r="C32">
        <v>17</v>
      </c>
      <c r="D32" s="1">
        <v>555</v>
      </c>
    </row>
    <row r="33" spans="1:4">
      <c r="A33">
        <v>2021</v>
      </c>
      <c r="B33">
        <v>8</v>
      </c>
      <c r="C33">
        <v>18</v>
      </c>
      <c r="D33" s="1">
        <v>30</v>
      </c>
    </row>
    <row r="34" spans="1:4">
      <c r="A34">
        <v>2021</v>
      </c>
      <c r="B34">
        <v>8</v>
      </c>
      <c r="C34">
        <v>19</v>
      </c>
      <c r="D34" s="1">
        <v>675</v>
      </c>
    </row>
    <row r="35" spans="1:4">
      <c r="A35">
        <v>2021</v>
      </c>
      <c r="B35">
        <v>8</v>
      </c>
      <c r="C35">
        <v>20</v>
      </c>
      <c r="D35" s="1">
        <v>585</v>
      </c>
    </row>
    <row r="36" spans="1:4">
      <c r="A36">
        <v>2021</v>
      </c>
      <c r="B36">
        <v>8</v>
      </c>
      <c r="C36">
        <v>21</v>
      </c>
      <c r="D36" s="1">
        <v>1290</v>
      </c>
    </row>
    <row r="37" spans="1:4">
      <c r="A37">
        <v>2021</v>
      </c>
      <c r="B37">
        <v>8</v>
      </c>
      <c r="C37">
        <v>22</v>
      </c>
      <c r="D37" s="1">
        <v>1350</v>
      </c>
    </row>
    <row r="38" spans="1:4">
      <c r="A38">
        <v>2021</v>
      </c>
      <c r="B38">
        <v>8</v>
      </c>
      <c r="C38">
        <v>23</v>
      </c>
      <c r="D38" s="1">
        <v>1740</v>
      </c>
    </row>
    <row r="39" spans="1:4">
      <c r="A39">
        <v>2021</v>
      </c>
      <c r="B39">
        <v>8</v>
      </c>
      <c r="C39">
        <v>24</v>
      </c>
      <c r="D39" s="1">
        <v>285</v>
      </c>
    </row>
    <row r="40" spans="1:4">
      <c r="A40">
        <v>2021</v>
      </c>
      <c r="B40">
        <v>8</v>
      </c>
      <c r="C40">
        <v>25</v>
      </c>
      <c r="D40" s="1">
        <v>780</v>
      </c>
    </row>
    <row r="41" spans="1:4">
      <c r="A41">
        <v>2021</v>
      </c>
      <c r="B41">
        <v>8</v>
      </c>
      <c r="C41">
        <v>26</v>
      </c>
      <c r="D41" s="1">
        <v>855</v>
      </c>
    </row>
    <row r="42" spans="1:4">
      <c r="A42">
        <v>2021</v>
      </c>
      <c r="B42">
        <v>8</v>
      </c>
      <c r="C42">
        <v>27</v>
      </c>
      <c r="D42" s="1">
        <v>615</v>
      </c>
    </row>
    <row r="43" spans="1:4">
      <c r="A43">
        <v>2021</v>
      </c>
      <c r="B43">
        <v>8</v>
      </c>
      <c r="C43">
        <v>28</v>
      </c>
      <c r="D43" s="1">
        <v>945</v>
      </c>
    </row>
    <row r="44" spans="1:4">
      <c r="A44">
        <v>2021</v>
      </c>
      <c r="B44">
        <v>8</v>
      </c>
      <c r="C44">
        <v>29</v>
      </c>
      <c r="D44" s="1">
        <v>1635</v>
      </c>
    </row>
    <row r="45" spans="1:4">
      <c r="A45">
        <v>2021</v>
      </c>
      <c r="B45">
        <v>8</v>
      </c>
      <c r="C45">
        <v>30</v>
      </c>
      <c r="D45" s="1">
        <v>2010</v>
      </c>
    </row>
    <row r="46" spans="1:4">
      <c r="A46">
        <v>2021</v>
      </c>
      <c r="B46">
        <v>8</v>
      </c>
      <c r="C46">
        <v>31</v>
      </c>
      <c r="D46" s="1">
        <v>465</v>
      </c>
    </row>
    <row r="47" spans="1:4">
      <c r="A47">
        <v>2021</v>
      </c>
      <c r="B47">
        <v>9</v>
      </c>
      <c r="C47">
        <v>1</v>
      </c>
      <c r="D47" s="1">
        <v>435</v>
      </c>
    </row>
    <row r="48" spans="1:4">
      <c r="A48">
        <v>2021</v>
      </c>
      <c r="B48">
        <v>9</v>
      </c>
      <c r="C48">
        <v>2</v>
      </c>
      <c r="D48" s="1">
        <v>1545</v>
      </c>
    </row>
    <row r="49" spans="1:4">
      <c r="A49">
        <v>2021</v>
      </c>
      <c r="B49">
        <v>9</v>
      </c>
      <c r="C49">
        <v>3</v>
      </c>
      <c r="D49" s="1">
        <v>450</v>
      </c>
    </row>
    <row r="50" spans="1:4">
      <c r="A50">
        <v>2021</v>
      </c>
      <c r="B50">
        <v>9</v>
      </c>
      <c r="C50">
        <v>4</v>
      </c>
      <c r="D50" s="1">
        <v>630</v>
      </c>
    </row>
    <row r="51" spans="1:4">
      <c r="A51">
        <v>2021</v>
      </c>
      <c r="B51">
        <v>9</v>
      </c>
      <c r="C51">
        <v>5</v>
      </c>
      <c r="D51" s="1">
        <v>1110</v>
      </c>
    </row>
    <row r="52" spans="1:4">
      <c r="A52">
        <v>2021</v>
      </c>
      <c r="B52">
        <v>9</v>
      </c>
      <c r="C52">
        <v>6</v>
      </c>
      <c r="D52" s="1">
        <v>660</v>
      </c>
    </row>
    <row r="53" spans="1:4">
      <c r="A53">
        <v>2021</v>
      </c>
      <c r="B53">
        <v>9</v>
      </c>
      <c r="C53">
        <v>7</v>
      </c>
      <c r="D53" s="1">
        <v>465</v>
      </c>
    </row>
    <row r="54" spans="1:4">
      <c r="A54">
        <v>2021</v>
      </c>
      <c r="B54">
        <v>9</v>
      </c>
      <c r="C54">
        <v>8</v>
      </c>
      <c r="D54" s="1">
        <v>810</v>
      </c>
    </row>
    <row r="55" spans="1:4">
      <c r="A55">
        <v>2021</v>
      </c>
      <c r="B55">
        <v>9</v>
      </c>
      <c r="C55">
        <v>9</v>
      </c>
      <c r="D55" s="1">
        <v>1815</v>
      </c>
    </row>
    <row r="56" spans="1:4">
      <c r="A56">
        <v>2021</v>
      </c>
      <c r="B56">
        <v>9</v>
      </c>
      <c r="C56">
        <v>10</v>
      </c>
      <c r="D56" s="1">
        <v>570</v>
      </c>
    </row>
    <row r="57" spans="1:4">
      <c r="A57">
        <v>2021</v>
      </c>
      <c r="B57">
        <v>9</v>
      </c>
      <c r="C57">
        <v>11</v>
      </c>
      <c r="D57" s="1">
        <v>705</v>
      </c>
    </row>
    <row r="58" spans="1:4">
      <c r="A58">
        <v>2021</v>
      </c>
      <c r="B58">
        <v>9</v>
      </c>
      <c r="C58">
        <v>12</v>
      </c>
      <c r="D58" s="1">
        <v>300</v>
      </c>
    </row>
    <row r="59" spans="1:4">
      <c r="A59">
        <v>2021</v>
      </c>
      <c r="B59">
        <v>9</v>
      </c>
      <c r="C59">
        <v>13</v>
      </c>
      <c r="D59" s="1">
        <v>885</v>
      </c>
    </row>
    <row r="60" spans="1:4">
      <c r="A60">
        <v>2021</v>
      </c>
      <c r="B60">
        <v>9</v>
      </c>
      <c r="C60">
        <v>14</v>
      </c>
      <c r="D60" s="1">
        <v>300</v>
      </c>
    </row>
    <row r="61" spans="1:4">
      <c r="A61">
        <v>2021</v>
      </c>
      <c r="B61">
        <v>9</v>
      </c>
      <c r="C61">
        <v>15</v>
      </c>
      <c r="D61" s="1">
        <v>1365</v>
      </c>
    </row>
    <row r="62" spans="1:4">
      <c r="A62">
        <v>2021</v>
      </c>
      <c r="B62">
        <v>9</v>
      </c>
      <c r="C62">
        <v>16</v>
      </c>
      <c r="D62" s="1">
        <v>1200</v>
      </c>
    </row>
    <row r="63" spans="1:4">
      <c r="A63">
        <v>2021</v>
      </c>
      <c r="B63">
        <v>9</v>
      </c>
      <c r="C63">
        <v>17</v>
      </c>
      <c r="D63" s="1">
        <v>855</v>
      </c>
    </row>
    <row r="64" spans="1:4">
      <c r="A64">
        <v>2021</v>
      </c>
      <c r="B64">
        <v>9</v>
      </c>
      <c r="C64">
        <v>18</v>
      </c>
      <c r="D64" s="1">
        <v>495</v>
      </c>
    </row>
    <row r="65" spans="1:4">
      <c r="A65">
        <v>2021</v>
      </c>
      <c r="B65">
        <v>9</v>
      </c>
      <c r="C65">
        <v>19</v>
      </c>
      <c r="D65" s="1">
        <v>615</v>
      </c>
    </row>
    <row r="66" spans="1:4">
      <c r="A66">
        <v>2021</v>
      </c>
      <c r="B66">
        <v>9</v>
      </c>
      <c r="C66">
        <v>20</v>
      </c>
      <c r="D66" s="1">
        <v>1800</v>
      </c>
    </row>
    <row r="67" spans="1:4">
      <c r="A67">
        <v>2021</v>
      </c>
      <c r="B67">
        <v>9</v>
      </c>
      <c r="C67">
        <v>21</v>
      </c>
      <c r="D67" s="1">
        <v>1155</v>
      </c>
    </row>
    <row r="68" spans="1:4">
      <c r="A68">
        <v>2021</v>
      </c>
      <c r="B68">
        <v>9</v>
      </c>
      <c r="C68">
        <v>22</v>
      </c>
      <c r="D68" s="1">
        <v>1410</v>
      </c>
    </row>
    <row r="69" spans="1:4">
      <c r="A69">
        <v>2021</v>
      </c>
      <c r="B69">
        <v>9</v>
      </c>
      <c r="C69">
        <v>23</v>
      </c>
      <c r="D69" s="1">
        <v>2700</v>
      </c>
    </row>
    <row r="70" spans="1:4">
      <c r="A70">
        <v>2021</v>
      </c>
      <c r="B70">
        <v>9</v>
      </c>
      <c r="C70">
        <v>24</v>
      </c>
      <c r="D70" s="1">
        <v>390</v>
      </c>
    </row>
    <row r="71" spans="1:4">
      <c r="A71">
        <v>2021</v>
      </c>
      <c r="B71">
        <v>9</v>
      </c>
      <c r="C71">
        <v>25</v>
      </c>
      <c r="D71" s="1">
        <v>1635</v>
      </c>
    </row>
    <row r="72" spans="1:4">
      <c r="A72">
        <v>2021</v>
      </c>
      <c r="B72">
        <v>9</v>
      </c>
      <c r="C72">
        <v>26</v>
      </c>
      <c r="D72" s="1">
        <v>825</v>
      </c>
    </row>
    <row r="73" spans="1:4">
      <c r="A73">
        <v>2021</v>
      </c>
      <c r="B73">
        <v>9</v>
      </c>
      <c r="C73">
        <v>27</v>
      </c>
      <c r="D73" s="1">
        <v>1185</v>
      </c>
    </row>
    <row r="74" spans="1:4">
      <c r="A74">
        <v>2021</v>
      </c>
      <c r="B74">
        <v>9</v>
      </c>
      <c r="C74">
        <v>29</v>
      </c>
      <c r="D74" s="1">
        <v>75</v>
      </c>
    </row>
    <row r="75" spans="1:4">
      <c r="A75">
        <v>2021</v>
      </c>
      <c r="B75">
        <v>9</v>
      </c>
      <c r="C75">
        <v>30</v>
      </c>
      <c r="D75" s="1">
        <v>1785</v>
      </c>
    </row>
    <row r="76" spans="1:4">
      <c r="A76">
        <v>2021</v>
      </c>
      <c r="B76">
        <v>10</v>
      </c>
      <c r="C76">
        <v>1</v>
      </c>
      <c r="D76" s="1">
        <v>1560</v>
      </c>
    </row>
    <row r="77" spans="1:4">
      <c r="A77">
        <v>2021</v>
      </c>
      <c r="B77">
        <v>10</v>
      </c>
      <c r="C77">
        <v>2</v>
      </c>
      <c r="D77" s="1">
        <v>1170</v>
      </c>
    </row>
    <row r="78" spans="1:4">
      <c r="A78">
        <v>2021</v>
      </c>
      <c r="B78">
        <v>10</v>
      </c>
      <c r="C78">
        <v>3</v>
      </c>
      <c r="D78" s="1">
        <v>900</v>
      </c>
    </row>
    <row r="79" spans="1:4">
      <c r="A79">
        <v>2021</v>
      </c>
      <c r="B79">
        <v>10</v>
      </c>
      <c r="C79">
        <v>4</v>
      </c>
      <c r="D79" s="1">
        <v>1110</v>
      </c>
    </row>
    <row r="80" spans="1:4">
      <c r="A80">
        <v>2021</v>
      </c>
      <c r="B80">
        <v>10</v>
      </c>
      <c r="C80">
        <v>5</v>
      </c>
      <c r="D80" s="1">
        <v>765</v>
      </c>
    </row>
    <row r="81" spans="1:4">
      <c r="A81">
        <v>2021</v>
      </c>
      <c r="B81">
        <v>10</v>
      </c>
      <c r="C81">
        <v>6</v>
      </c>
      <c r="D81" s="1">
        <v>1860</v>
      </c>
    </row>
    <row r="82" spans="1:4">
      <c r="A82">
        <v>2021</v>
      </c>
      <c r="B82">
        <v>10</v>
      </c>
      <c r="C82">
        <v>7</v>
      </c>
      <c r="D82" s="1">
        <v>1530</v>
      </c>
    </row>
    <row r="83" spans="1:4">
      <c r="A83">
        <v>2021</v>
      </c>
      <c r="B83">
        <v>10</v>
      </c>
      <c r="C83">
        <v>8</v>
      </c>
      <c r="D83" s="1">
        <v>1725</v>
      </c>
    </row>
    <row r="84" spans="1:4">
      <c r="A84">
        <v>2021</v>
      </c>
      <c r="B84">
        <v>10</v>
      </c>
      <c r="C84">
        <v>9</v>
      </c>
      <c r="D84" s="1">
        <v>2055</v>
      </c>
    </row>
    <row r="85" spans="1:4">
      <c r="A85">
        <v>2021</v>
      </c>
      <c r="B85">
        <v>10</v>
      </c>
      <c r="C85">
        <v>10</v>
      </c>
      <c r="D85" s="1">
        <v>1200</v>
      </c>
    </row>
    <row r="86" spans="1:4">
      <c r="A86">
        <v>2021</v>
      </c>
      <c r="B86">
        <v>10</v>
      </c>
      <c r="C86">
        <v>11</v>
      </c>
      <c r="D86" s="1">
        <v>990</v>
      </c>
    </row>
    <row r="87" spans="1:4">
      <c r="A87">
        <v>2021</v>
      </c>
      <c r="B87">
        <v>10</v>
      </c>
      <c r="C87">
        <v>12</v>
      </c>
      <c r="D87" s="1">
        <v>690</v>
      </c>
    </row>
    <row r="88" spans="1:4">
      <c r="A88">
        <v>2021</v>
      </c>
      <c r="B88">
        <v>10</v>
      </c>
      <c r="C88">
        <v>13</v>
      </c>
      <c r="D88" s="1">
        <v>945</v>
      </c>
    </row>
    <row r="89" spans="1:4">
      <c r="A89">
        <v>2021</v>
      </c>
      <c r="B89">
        <v>10</v>
      </c>
      <c r="C89">
        <v>14</v>
      </c>
      <c r="D89" s="1">
        <v>1065</v>
      </c>
    </row>
    <row r="90" spans="1:4">
      <c r="A90">
        <v>2021</v>
      </c>
      <c r="B90">
        <v>10</v>
      </c>
      <c r="C90">
        <v>15</v>
      </c>
      <c r="D90" s="1">
        <v>2130</v>
      </c>
    </row>
    <row r="91" spans="1:4">
      <c r="A91">
        <v>2021</v>
      </c>
      <c r="B91">
        <v>10</v>
      </c>
      <c r="C91">
        <v>16</v>
      </c>
      <c r="D91" s="1">
        <v>1590</v>
      </c>
    </row>
    <row r="92" spans="1:4">
      <c r="A92">
        <v>2021</v>
      </c>
      <c r="B92">
        <v>10</v>
      </c>
      <c r="C92">
        <v>17</v>
      </c>
      <c r="D92" s="1">
        <v>855</v>
      </c>
    </row>
    <row r="93" spans="1:4">
      <c r="A93">
        <v>2021</v>
      </c>
      <c r="B93">
        <v>10</v>
      </c>
      <c r="C93">
        <v>18</v>
      </c>
      <c r="D93" s="1">
        <v>1080</v>
      </c>
    </row>
    <row r="94" spans="1:4">
      <c r="A94">
        <v>2021</v>
      </c>
      <c r="B94">
        <v>10</v>
      </c>
      <c r="C94">
        <v>19</v>
      </c>
      <c r="D94" s="1">
        <v>1290</v>
      </c>
    </row>
    <row r="95" spans="1:4">
      <c r="A95">
        <v>2021</v>
      </c>
      <c r="B95">
        <v>10</v>
      </c>
      <c r="C95">
        <v>20</v>
      </c>
      <c r="D95" s="1">
        <v>2085</v>
      </c>
    </row>
    <row r="96" spans="1:4">
      <c r="A96">
        <v>2021</v>
      </c>
      <c r="B96">
        <v>10</v>
      </c>
      <c r="C96">
        <v>21</v>
      </c>
      <c r="D96" s="1">
        <v>375</v>
      </c>
    </row>
    <row r="97" spans="1:4">
      <c r="A97">
        <v>2021</v>
      </c>
      <c r="B97">
        <v>10</v>
      </c>
      <c r="C97">
        <v>22</v>
      </c>
      <c r="D97" s="1">
        <v>975</v>
      </c>
    </row>
    <row r="98" spans="1:4">
      <c r="A98">
        <v>2021</v>
      </c>
      <c r="B98">
        <v>10</v>
      </c>
      <c r="C98">
        <v>23</v>
      </c>
      <c r="D98" s="1">
        <v>1410</v>
      </c>
    </row>
    <row r="99" spans="1:4">
      <c r="A99">
        <v>2021</v>
      </c>
      <c r="B99">
        <v>10</v>
      </c>
      <c r="C99">
        <v>24</v>
      </c>
      <c r="D99" s="1">
        <v>1410</v>
      </c>
    </row>
    <row r="100" spans="1:4">
      <c r="A100">
        <v>2021</v>
      </c>
      <c r="B100">
        <v>10</v>
      </c>
      <c r="C100">
        <v>25</v>
      </c>
      <c r="D100" s="1">
        <v>990</v>
      </c>
    </row>
    <row r="101" spans="1:4">
      <c r="A101">
        <v>2021</v>
      </c>
      <c r="B101">
        <v>10</v>
      </c>
      <c r="C101">
        <v>26</v>
      </c>
      <c r="D101" s="1">
        <v>2835</v>
      </c>
    </row>
    <row r="102" spans="1:4">
      <c r="A102">
        <v>2021</v>
      </c>
      <c r="B102">
        <v>10</v>
      </c>
      <c r="C102">
        <v>27</v>
      </c>
      <c r="D102" s="1">
        <v>1230</v>
      </c>
    </row>
    <row r="103" spans="1:4">
      <c r="A103">
        <v>2021</v>
      </c>
      <c r="B103">
        <v>10</v>
      </c>
      <c r="C103">
        <v>28</v>
      </c>
      <c r="D103" s="1">
        <v>1290</v>
      </c>
    </row>
    <row r="104" spans="1:4">
      <c r="A104">
        <v>2021</v>
      </c>
      <c r="B104">
        <v>10</v>
      </c>
      <c r="C104">
        <v>29</v>
      </c>
      <c r="D104" s="1">
        <v>1575</v>
      </c>
    </row>
    <row r="105" spans="1:4">
      <c r="A105">
        <v>2021</v>
      </c>
      <c r="B105">
        <v>10</v>
      </c>
      <c r="C105">
        <v>30</v>
      </c>
      <c r="D105" s="1">
        <v>3195</v>
      </c>
    </row>
    <row r="106" spans="1:4">
      <c r="A106">
        <v>2021</v>
      </c>
      <c r="B106">
        <v>10</v>
      </c>
      <c r="C106">
        <v>31</v>
      </c>
      <c r="D106" s="1">
        <v>1575</v>
      </c>
    </row>
    <row r="107" spans="1:4">
      <c r="A107">
        <v>2021</v>
      </c>
      <c r="B107">
        <v>11</v>
      </c>
      <c r="C107">
        <v>1</v>
      </c>
      <c r="D107" s="1">
        <v>630</v>
      </c>
    </row>
    <row r="108" spans="1:4">
      <c r="A108">
        <v>2021</v>
      </c>
      <c r="B108">
        <v>11</v>
      </c>
      <c r="C108">
        <v>2</v>
      </c>
      <c r="D108" s="1">
        <v>825</v>
      </c>
    </row>
    <row r="109" spans="1:4">
      <c r="A109">
        <v>2021</v>
      </c>
      <c r="B109">
        <v>11</v>
      </c>
      <c r="C109">
        <v>3</v>
      </c>
      <c r="D109" s="1">
        <v>645</v>
      </c>
    </row>
    <row r="110" spans="1:4">
      <c r="A110">
        <v>2021</v>
      </c>
      <c r="B110">
        <v>11</v>
      </c>
      <c r="C110">
        <v>4</v>
      </c>
      <c r="D110" s="1">
        <v>1530</v>
      </c>
    </row>
    <row r="111" spans="1:4">
      <c r="A111">
        <v>2021</v>
      </c>
      <c r="B111">
        <v>11</v>
      </c>
      <c r="C111">
        <v>5</v>
      </c>
      <c r="D111" s="1">
        <v>1980</v>
      </c>
    </row>
    <row r="112" spans="1:4">
      <c r="A112">
        <v>2021</v>
      </c>
      <c r="B112">
        <v>11</v>
      </c>
      <c r="C112">
        <v>6</v>
      </c>
      <c r="D112" s="1">
        <v>1545</v>
      </c>
    </row>
    <row r="113" spans="1:4">
      <c r="A113">
        <v>2021</v>
      </c>
      <c r="B113">
        <v>11</v>
      </c>
      <c r="C113">
        <v>7</v>
      </c>
      <c r="D113" s="1">
        <v>1560</v>
      </c>
    </row>
    <row r="114" spans="1:4">
      <c r="A114">
        <v>2021</v>
      </c>
      <c r="B114">
        <v>11</v>
      </c>
      <c r="C114">
        <v>8</v>
      </c>
      <c r="D114" s="1">
        <v>1275</v>
      </c>
    </row>
    <row r="115" spans="1:4">
      <c r="A115">
        <v>2021</v>
      </c>
      <c r="B115">
        <v>11</v>
      </c>
      <c r="C115">
        <v>9</v>
      </c>
      <c r="D115" s="1">
        <v>1200</v>
      </c>
    </row>
    <row r="116" spans="1:4">
      <c r="A116">
        <v>2021</v>
      </c>
      <c r="B116">
        <v>11</v>
      </c>
      <c r="C116">
        <v>10</v>
      </c>
      <c r="D116" s="1">
        <v>3375</v>
      </c>
    </row>
    <row r="117" spans="1:4">
      <c r="A117">
        <v>2021</v>
      </c>
      <c r="B117">
        <v>11</v>
      </c>
      <c r="C117">
        <v>11</v>
      </c>
      <c r="D117" s="1">
        <v>1365</v>
      </c>
    </row>
    <row r="118" spans="1:4">
      <c r="A118">
        <v>2021</v>
      </c>
      <c r="B118">
        <v>11</v>
      </c>
      <c r="C118">
        <v>12</v>
      </c>
      <c r="D118" s="1">
        <v>765</v>
      </c>
    </row>
    <row r="119" spans="1:4">
      <c r="A119">
        <v>2021</v>
      </c>
      <c r="B119">
        <v>11</v>
      </c>
      <c r="C119">
        <v>13</v>
      </c>
      <c r="D119" s="1">
        <v>2190</v>
      </c>
    </row>
    <row r="120" spans="1:4">
      <c r="A120">
        <v>2021</v>
      </c>
      <c r="B120">
        <v>11</v>
      </c>
      <c r="C120">
        <v>14</v>
      </c>
      <c r="D120" s="1">
        <v>1350</v>
      </c>
    </row>
    <row r="121" spans="1:4">
      <c r="A121">
        <v>2021</v>
      </c>
      <c r="B121">
        <v>11</v>
      </c>
      <c r="C121">
        <v>15</v>
      </c>
      <c r="D121" s="1">
        <v>2430</v>
      </c>
    </row>
    <row r="122" spans="1:4">
      <c r="A122">
        <v>2021</v>
      </c>
      <c r="B122">
        <v>11</v>
      </c>
      <c r="C122">
        <v>16</v>
      </c>
      <c r="D122" s="1">
        <v>3330</v>
      </c>
    </row>
    <row r="123" spans="1:4">
      <c r="A123">
        <v>2021</v>
      </c>
      <c r="B123">
        <v>11</v>
      </c>
      <c r="C123">
        <v>17</v>
      </c>
      <c r="D123" s="1">
        <v>2235</v>
      </c>
    </row>
    <row r="124" spans="1:4">
      <c r="A124">
        <v>2021</v>
      </c>
      <c r="B124">
        <v>11</v>
      </c>
      <c r="C124">
        <v>18</v>
      </c>
      <c r="D124" s="1">
        <v>1410</v>
      </c>
    </row>
    <row r="125" spans="1:4">
      <c r="A125">
        <v>2021</v>
      </c>
      <c r="B125">
        <v>11</v>
      </c>
      <c r="C125">
        <v>19</v>
      </c>
      <c r="D125" s="1">
        <v>1020</v>
      </c>
    </row>
    <row r="126" spans="1:4">
      <c r="A126">
        <v>2021</v>
      </c>
      <c r="B126">
        <v>11</v>
      </c>
      <c r="C126">
        <v>20</v>
      </c>
      <c r="D126" s="1">
        <v>2640</v>
      </c>
    </row>
    <row r="127" spans="1:4">
      <c r="A127">
        <v>2021</v>
      </c>
      <c r="B127">
        <v>11</v>
      </c>
      <c r="C127">
        <v>21</v>
      </c>
      <c r="D127" s="1">
        <v>1140</v>
      </c>
    </row>
    <row r="128" spans="1:4">
      <c r="A128">
        <v>2021</v>
      </c>
      <c r="B128">
        <v>11</v>
      </c>
      <c r="C128">
        <v>22</v>
      </c>
      <c r="D128" s="1">
        <v>1470</v>
      </c>
    </row>
    <row r="129" spans="1:4">
      <c r="A129">
        <v>2021</v>
      </c>
      <c r="B129">
        <v>11</v>
      </c>
      <c r="C129">
        <v>23</v>
      </c>
      <c r="D129" s="1">
        <v>510</v>
      </c>
    </row>
    <row r="130" spans="1:4">
      <c r="A130">
        <v>2021</v>
      </c>
      <c r="B130">
        <v>11</v>
      </c>
      <c r="C130">
        <v>24</v>
      </c>
      <c r="D130" s="1">
        <v>2280</v>
      </c>
    </row>
    <row r="131" spans="1:4">
      <c r="A131">
        <v>2021</v>
      </c>
      <c r="B131">
        <v>11</v>
      </c>
      <c r="C131">
        <v>25</v>
      </c>
      <c r="D131" s="1">
        <v>960</v>
      </c>
    </row>
    <row r="132" spans="1:4">
      <c r="A132">
        <v>2021</v>
      </c>
      <c r="B132">
        <v>11</v>
      </c>
      <c r="C132">
        <v>26</v>
      </c>
      <c r="D132" s="1">
        <v>990</v>
      </c>
    </row>
    <row r="133" spans="1:4">
      <c r="A133">
        <v>2021</v>
      </c>
      <c r="B133">
        <v>11</v>
      </c>
      <c r="C133">
        <v>27</v>
      </c>
      <c r="D133" s="1">
        <v>2085</v>
      </c>
    </row>
    <row r="134" spans="1:4">
      <c r="A134">
        <v>2021</v>
      </c>
      <c r="B134">
        <v>11</v>
      </c>
      <c r="C134">
        <v>28</v>
      </c>
      <c r="D134" s="1">
        <v>1125</v>
      </c>
    </row>
    <row r="135" spans="1:4">
      <c r="A135">
        <v>2021</v>
      </c>
      <c r="B135">
        <v>11</v>
      </c>
      <c r="C135">
        <v>29</v>
      </c>
      <c r="D135" s="1">
        <v>2685</v>
      </c>
    </row>
    <row r="136" spans="1:4">
      <c r="A136">
        <v>2021</v>
      </c>
      <c r="B136">
        <v>11</v>
      </c>
      <c r="C136">
        <v>30</v>
      </c>
      <c r="D136" s="1">
        <v>825</v>
      </c>
    </row>
    <row r="137" spans="1:4">
      <c r="A137">
        <v>2021</v>
      </c>
      <c r="B137">
        <v>12</v>
      </c>
      <c r="C137">
        <v>1</v>
      </c>
      <c r="D137" s="1">
        <v>525</v>
      </c>
    </row>
    <row r="138" spans="1:4">
      <c r="A138">
        <v>2021</v>
      </c>
      <c r="B138">
        <v>12</v>
      </c>
      <c r="C138">
        <v>2</v>
      </c>
      <c r="D138" s="1">
        <v>2580</v>
      </c>
    </row>
    <row r="139" spans="1:4">
      <c r="A139">
        <v>2021</v>
      </c>
      <c r="B139">
        <v>12</v>
      </c>
      <c r="C139">
        <v>3</v>
      </c>
      <c r="D139" s="1">
        <v>1410</v>
      </c>
    </row>
    <row r="140" spans="1:4">
      <c r="A140">
        <v>2021</v>
      </c>
      <c r="B140">
        <v>12</v>
      </c>
      <c r="C140">
        <v>4</v>
      </c>
      <c r="D140" s="1">
        <v>1725</v>
      </c>
    </row>
    <row r="141" spans="1:4">
      <c r="A141">
        <v>2021</v>
      </c>
      <c r="B141">
        <v>12</v>
      </c>
      <c r="C141">
        <v>5</v>
      </c>
      <c r="D141" s="1">
        <v>1005</v>
      </c>
    </row>
    <row r="142" spans="1:4">
      <c r="A142">
        <v>2021</v>
      </c>
      <c r="B142">
        <v>12</v>
      </c>
      <c r="C142">
        <v>6</v>
      </c>
      <c r="D142" s="1">
        <v>1065</v>
      </c>
    </row>
    <row r="143" spans="1:4">
      <c r="A143">
        <v>2021</v>
      </c>
      <c r="B143">
        <v>12</v>
      </c>
      <c r="C143">
        <v>7</v>
      </c>
      <c r="D143" s="1">
        <v>1635</v>
      </c>
    </row>
    <row r="144" spans="1:4">
      <c r="A144">
        <v>2021</v>
      </c>
      <c r="B144">
        <v>12</v>
      </c>
      <c r="C144">
        <v>8</v>
      </c>
      <c r="D144" s="1">
        <v>1590</v>
      </c>
    </row>
    <row r="145" spans="1:4">
      <c r="A145">
        <v>2021</v>
      </c>
      <c r="B145">
        <v>12</v>
      </c>
      <c r="C145">
        <v>9</v>
      </c>
      <c r="D145" s="1">
        <v>3045</v>
      </c>
    </row>
    <row r="146" spans="1:4">
      <c r="A146">
        <v>2021</v>
      </c>
      <c r="B146">
        <v>12</v>
      </c>
      <c r="C146">
        <v>10</v>
      </c>
      <c r="D146" s="1">
        <v>1920</v>
      </c>
    </row>
    <row r="147" spans="1:4">
      <c r="A147">
        <v>2021</v>
      </c>
      <c r="B147">
        <v>12</v>
      </c>
      <c r="C147">
        <v>11</v>
      </c>
      <c r="D147" s="1">
        <v>1605</v>
      </c>
    </row>
    <row r="148" spans="1:4">
      <c r="A148">
        <v>2021</v>
      </c>
      <c r="B148">
        <v>12</v>
      </c>
      <c r="C148">
        <v>12</v>
      </c>
      <c r="D148" s="1">
        <v>585</v>
      </c>
    </row>
    <row r="149" spans="1:4">
      <c r="A149">
        <v>2021</v>
      </c>
      <c r="B149">
        <v>12</v>
      </c>
      <c r="C149">
        <v>13</v>
      </c>
      <c r="D149" s="1">
        <v>1530</v>
      </c>
    </row>
    <row r="150" spans="1:4">
      <c r="A150">
        <v>2021</v>
      </c>
      <c r="B150">
        <v>12</v>
      </c>
      <c r="C150">
        <v>14</v>
      </c>
      <c r="D150" s="1">
        <v>1740</v>
      </c>
    </row>
    <row r="151" spans="1:4">
      <c r="A151">
        <v>2021</v>
      </c>
      <c r="B151">
        <v>12</v>
      </c>
      <c r="C151">
        <v>15</v>
      </c>
      <c r="D151" s="1">
        <v>2925</v>
      </c>
    </row>
    <row r="152" spans="1:4">
      <c r="A152">
        <v>2021</v>
      </c>
      <c r="B152">
        <v>12</v>
      </c>
      <c r="C152">
        <v>16</v>
      </c>
      <c r="D152" s="1">
        <v>1920</v>
      </c>
    </row>
    <row r="153" spans="1:4">
      <c r="A153">
        <v>2021</v>
      </c>
      <c r="B153">
        <v>12</v>
      </c>
      <c r="C153">
        <v>17</v>
      </c>
      <c r="D153" s="1">
        <v>2475</v>
      </c>
    </row>
    <row r="154" spans="1:4">
      <c r="A154">
        <v>2021</v>
      </c>
      <c r="B154">
        <v>12</v>
      </c>
      <c r="C154">
        <v>18</v>
      </c>
      <c r="D154" s="1">
        <v>4320</v>
      </c>
    </row>
    <row r="155" spans="1:4">
      <c r="A155">
        <v>2021</v>
      </c>
      <c r="B155">
        <v>12</v>
      </c>
      <c r="C155">
        <v>19</v>
      </c>
      <c r="D155" s="1">
        <v>1680</v>
      </c>
    </row>
    <row r="156" spans="1:4">
      <c r="A156">
        <v>2021</v>
      </c>
      <c r="B156">
        <v>12</v>
      </c>
      <c r="C156">
        <v>20</v>
      </c>
      <c r="D156" s="1">
        <v>1995</v>
      </c>
    </row>
    <row r="157" spans="1:4">
      <c r="A157">
        <v>2021</v>
      </c>
      <c r="B157">
        <v>12</v>
      </c>
      <c r="C157">
        <v>21</v>
      </c>
      <c r="D157" s="1">
        <v>3150</v>
      </c>
    </row>
    <row r="158" spans="1:4">
      <c r="A158">
        <v>2021</v>
      </c>
      <c r="B158">
        <v>12</v>
      </c>
      <c r="C158">
        <v>22</v>
      </c>
      <c r="D158" s="1">
        <v>2055</v>
      </c>
    </row>
    <row r="159" spans="1:4">
      <c r="A159">
        <v>2021</v>
      </c>
      <c r="B159">
        <v>12</v>
      </c>
      <c r="C159">
        <v>23</v>
      </c>
      <c r="D159" s="1">
        <v>2370</v>
      </c>
    </row>
    <row r="160" spans="1:4">
      <c r="A160">
        <v>2021</v>
      </c>
      <c r="B160">
        <v>12</v>
      </c>
      <c r="C160">
        <v>24</v>
      </c>
      <c r="D160" s="1">
        <v>1950</v>
      </c>
    </row>
    <row r="161" spans="1:4">
      <c r="A161">
        <v>2021</v>
      </c>
      <c r="B161">
        <v>12</v>
      </c>
      <c r="C161">
        <v>25</v>
      </c>
      <c r="D161" s="1">
        <v>450</v>
      </c>
    </row>
    <row r="162" spans="1:4">
      <c r="A162">
        <v>2021</v>
      </c>
      <c r="B162">
        <v>12</v>
      </c>
      <c r="C162">
        <v>26</v>
      </c>
      <c r="D162" s="1">
        <v>1365</v>
      </c>
    </row>
    <row r="163" spans="1:4">
      <c r="A163">
        <v>2021</v>
      </c>
      <c r="B163">
        <v>12</v>
      </c>
      <c r="C163">
        <v>27</v>
      </c>
      <c r="D163" s="1">
        <v>1605</v>
      </c>
    </row>
    <row r="164" spans="1:4">
      <c r="A164">
        <v>2021</v>
      </c>
      <c r="B164">
        <v>12</v>
      </c>
      <c r="C164">
        <v>28</v>
      </c>
      <c r="D164" s="1">
        <v>1140</v>
      </c>
    </row>
    <row r="165" spans="1:4">
      <c r="A165">
        <v>2021</v>
      </c>
      <c r="B165">
        <v>12</v>
      </c>
      <c r="C165">
        <v>29</v>
      </c>
      <c r="D165" s="1">
        <v>1125</v>
      </c>
    </row>
    <row r="166" spans="1:4">
      <c r="A166">
        <v>2021</v>
      </c>
      <c r="B166">
        <v>12</v>
      </c>
      <c r="C166">
        <v>30</v>
      </c>
      <c r="D166" s="1">
        <v>1215</v>
      </c>
    </row>
    <row r="167" spans="1:4">
      <c r="A167">
        <v>2021</v>
      </c>
      <c r="B167">
        <v>12</v>
      </c>
      <c r="C167">
        <v>31</v>
      </c>
      <c r="D167" s="1">
        <v>1200</v>
      </c>
    </row>
    <row r="168" spans="1:4">
      <c r="A168">
        <v>2022</v>
      </c>
      <c r="B168">
        <v>1</v>
      </c>
      <c r="C168">
        <v>1</v>
      </c>
      <c r="D168" s="1">
        <v>90</v>
      </c>
    </row>
    <row r="169" spans="1:4">
      <c r="A169">
        <v>2022</v>
      </c>
      <c r="B169">
        <v>1</v>
      </c>
      <c r="C169">
        <v>2</v>
      </c>
      <c r="D169" s="1">
        <v>270</v>
      </c>
    </row>
    <row r="170" spans="1:4">
      <c r="A170">
        <v>2022</v>
      </c>
      <c r="B170">
        <v>1</v>
      </c>
      <c r="C170">
        <v>3</v>
      </c>
      <c r="D170" s="1">
        <v>795</v>
      </c>
    </row>
    <row r="171" spans="1:4">
      <c r="A171">
        <v>2022</v>
      </c>
      <c r="B171">
        <v>1</v>
      </c>
      <c r="C171">
        <v>4</v>
      </c>
      <c r="D171" s="1">
        <v>840</v>
      </c>
    </row>
    <row r="172" spans="1:4">
      <c r="A172">
        <v>2022</v>
      </c>
      <c r="B172">
        <v>1</v>
      </c>
      <c r="C172">
        <v>5</v>
      </c>
      <c r="D172" s="1">
        <v>1530</v>
      </c>
    </row>
    <row r="173" spans="1:4">
      <c r="A173">
        <v>2022</v>
      </c>
      <c r="B173">
        <v>1</v>
      </c>
      <c r="C173">
        <v>6</v>
      </c>
      <c r="D173" s="1">
        <v>1435</v>
      </c>
    </row>
    <row r="174" spans="1:4">
      <c r="A174">
        <v>2022</v>
      </c>
      <c r="B174">
        <v>1</v>
      </c>
      <c r="C174">
        <v>7</v>
      </c>
      <c r="D174" s="1">
        <v>555</v>
      </c>
    </row>
    <row r="175" spans="1:4">
      <c r="A175">
        <v>2022</v>
      </c>
      <c r="B175">
        <v>1</v>
      </c>
      <c r="C175">
        <v>8</v>
      </c>
      <c r="D175" s="1">
        <v>930</v>
      </c>
    </row>
    <row r="176" spans="1:4">
      <c r="A176">
        <v>2022</v>
      </c>
      <c r="B176">
        <v>1</v>
      </c>
      <c r="C176">
        <v>9</v>
      </c>
      <c r="D176" s="1">
        <v>645</v>
      </c>
    </row>
    <row r="177" spans="1:4">
      <c r="A177">
        <v>2022</v>
      </c>
      <c r="B177">
        <v>1</v>
      </c>
      <c r="C177">
        <v>10</v>
      </c>
      <c r="D177" s="1">
        <v>555</v>
      </c>
    </row>
    <row r="178" spans="1:4">
      <c r="A178">
        <v>2022</v>
      </c>
      <c r="B178">
        <v>1</v>
      </c>
      <c r="C178">
        <v>11</v>
      </c>
      <c r="D178" s="1">
        <v>405</v>
      </c>
    </row>
    <row r="179" spans="1:4">
      <c r="A179">
        <v>2022</v>
      </c>
      <c r="B179">
        <v>1</v>
      </c>
      <c r="C179">
        <v>12</v>
      </c>
      <c r="D179" s="1">
        <v>420</v>
      </c>
    </row>
    <row r="180" spans="1:4">
      <c r="A180">
        <v>2022</v>
      </c>
      <c r="B180">
        <v>1</v>
      </c>
      <c r="C180">
        <v>13</v>
      </c>
      <c r="D180" s="1">
        <v>0</v>
      </c>
    </row>
    <row r="181" spans="1:4">
      <c r="A181">
        <v>2022</v>
      </c>
      <c r="B181">
        <v>1</v>
      </c>
      <c r="C181">
        <v>14</v>
      </c>
      <c r="D181" s="1">
        <v>1680</v>
      </c>
    </row>
    <row r="182" spans="1:4">
      <c r="A182">
        <v>2022</v>
      </c>
      <c r="B182">
        <v>1</v>
      </c>
      <c r="C182">
        <v>15</v>
      </c>
      <c r="D182" s="1">
        <v>1440</v>
      </c>
    </row>
    <row r="183" spans="1:4">
      <c r="A183">
        <v>2022</v>
      </c>
      <c r="B183">
        <v>1</v>
      </c>
      <c r="C183">
        <v>16</v>
      </c>
      <c r="D183" s="1">
        <v>390</v>
      </c>
    </row>
    <row r="184" spans="1:4">
      <c r="A184">
        <v>2022</v>
      </c>
      <c r="B184">
        <v>1</v>
      </c>
      <c r="C184">
        <v>17</v>
      </c>
      <c r="D184" s="1">
        <v>1215</v>
      </c>
    </row>
    <row r="185" spans="1:4">
      <c r="A185">
        <v>2022</v>
      </c>
      <c r="B185">
        <v>1</v>
      </c>
      <c r="C185">
        <v>18</v>
      </c>
      <c r="D185" s="1">
        <v>870</v>
      </c>
    </row>
    <row r="186" spans="1:4">
      <c r="A186">
        <v>2022</v>
      </c>
      <c r="B186">
        <v>1</v>
      </c>
      <c r="C186">
        <v>19</v>
      </c>
      <c r="D186" s="1">
        <v>1125</v>
      </c>
    </row>
    <row r="187" spans="1:4">
      <c r="A187">
        <v>2022</v>
      </c>
      <c r="B187">
        <v>1</v>
      </c>
      <c r="C187">
        <v>20</v>
      </c>
      <c r="D187" s="1">
        <v>1260</v>
      </c>
    </row>
    <row r="188" spans="1:4">
      <c r="A188">
        <v>2022</v>
      </c>
      <c r="B188">
        <v>1</v>
      </c>
      <c r="C188">
        <v>21</v>
      </c>
      <c r="D188" s="1">
        <v>810</v>
      </c>
    </row>
    <row r="189" spans="1:4">
      <c r="A189">
        <v>2022</v>
      </c>
      <c r="B189">
        <v>1</v>
      </c>
      <c r="C189">
        <v>22</v>
      </c>
      <c r="D189" s="1">
        <v>2775</v>
      </c>
    </row>
    <row r="190" spans="1:4">
      <c r="A190">
        <v>2022</v>
      </c>
      <c r="B190">
        <v>1</v>
      </c>
      <c r="C190">
        <v>23</v>
      </c>
      <c r="D190" s="1">
        <v>855</v>
      </c>
    </row>
    <row r="191" spans="1:4">
      <c r="A191">
        <v>2022</v>
      </c>
      <c r="B191">
        <v>1</v>
      </c>
      <c r="C191">
        <v>24</v>
      </c>
      <c r="D191" s="1">
        <v>555</v>
      </c>
    </row>
    <row r="192" spans="1:4">
      <c r="A192">
        <v>2022</v>
      </c>
      <c r="B192">
        <v>1</v>
      </c>
      <c r="C192">
        <v>25</v>
      </c>
      <c r="D192" s="1">
        <v>1140</v>
      </c>
    </row>
    <row r="193" spans="1:4">
      <c r="A193">
        <v>2022</v>
      </c>
      <c r="B193">
        <v>1</v>
      </c>
      <c r="C193">
        <v>26</v>
      </c>
      <c r="D193" s="1">
        <v>2250</v>
      </c>
    </row>
    <row r="194" spans="1:4">
      <c r="A194">
        <v>2022</v>
      </c>
      <c r="B194">
        <v>1</v>
      </c>
      <c r="C194">
        <v>27</v>
      </c>
      <c r="D194" s="1">
        <v>750</v>
      </c>
    </row>
    <row r="195" spans="1:4">
      <c r="A195">
        <v>2022</v>
      </c>
      <c r="B195">
        <v>1</v>
      </c>
      <c r="C195">
        <v>28</v>
      </c>
      <c r="D195" s="1">
        <v>1500</v>
      </c>
    </row>
    <row r="196" spans="1:4">
      <c r="A196">
        <v>2022</v>
      </c>
      <c r="B196">
        <v>1</v>
      </c>
      <c r="C196">
        <v>29</v>
      </c>
      <c r="D196" s="1">
        <v>2745</v>
      </c>
    </row>
    <row r="197" spans="1:4">
      <c r="A197">
        <v>2022</v>
      </c>
      <c r="B197">
        <v>1</v>
      </c>
      <c r="C197">
        <v>30</v>
      </c>
      <c r="D197" s="1">
        <v>1500</v>
      </c>
    </row>
    <row r="198" spans="1:4">
      <c r="A198">
        <v>2022</v>
      </c>
      <c r="B198">
        <v>1</v>
      </c>
      <c r="C198">
        <v>31</v>
      </c>
      <c r="D198" s="1">
        <v>1110</v>
      </c>
    </row>
    <row r="199" spans="1:4">
      <c r="A199">
        <v>2022</v>
      </c>
      <c r="B199">
        <v>2</v>
      </c>
      <c r="C199">
        <v>1</v>
      </c>
      <c r="D199" s="1">
        <v>1755</v>
      </c>
    </row>
    <row r="200" spans="1:4">
      <c r="A200">
        <v>2022</v>
      </c>
      <c r="B200">
        <v>2</v>
      </c>
      <c r="C200">
        <v>2</v>
      </c>
      <c r="D200" s="1">
        <v>1910</v>
      </c>
    </row>
    <row r="201" spans="1:4">
      <c r="A201">
        <v>2022</v>
      </c>
      <c r="B201">
        <v>2</v>
      </c>
      <c r="C201">
        <v>3</v>
      </c>
      <c r="D201" s="1">
        <v>1035</v>
      </c>
    </row>
    <row r="202" spans="1:4">
      <c r="A202">
        <v>2022</v>
      </c>
      <c r="B202">
        <v>2</v>
      </c>
      <c r="C202">
        <v>4</v>
      </c>
      <c r="D202" s="1">
        <v>300</v>
      </c>
    </row>
    <row r="203" spans="1:4">
      <c r="A203">
        <v>2022</v>
      </c>
      <c r="B203">
        <v>2</v>
      </c>
      <c r="C203">
        <v>5</v>
      </c>
      <c r="D203" s="1">
        <v>1905</v>
      </c>
    </row>
    <row r="204" spans="1:4">
      <c r="A204">
        <v>2022</v>
      </c>
      <c r="B204">
        <v>2</v>
      </c>
      <c r="C204">
        <v>6</v>
      </c>
      <c r="D204" s="1">
        <v>2045</v>
      </c>
    </row>
    <row r="205" spans="1:4">
      <c r="A205">
        <v>2022</v>
      </c>
      <c r="B205">
        <v>2</v>
      </c>
      <c r="C205">
        <v>7</v>
      </c>
      <c r="D205" s="1">
        <v>720</v>
      </c>
    </row>
    <row r="206" spans="1:4">
      <c r="A206">
        <v>2022</v>
      </c>
      <c r="B206">
        <v>2</v>
      </c>
      <c r="C206">
        <v>8</v>
      </c>
      <c r="D206" s="1">
        <v>1245</v>
      </c>
    </row>
    <row r="207" spans="1:4">
      <c r="A207">
        <v>2022</v>
      </c>
      <c r="B207">
        <v>2</v>
      </c>
      <c r="C207">
        <v>9</v>
      </c>
      <c r="D207" s="1">
        <v>695</v>
      </c>
    </row>
    <row r="208" spans="1:4">
      <c r="A208">
        <v>2022</v>
      </c>
      <c r="B208">
        <v>2</v>
      </c>
      <c r="C208">
        <v>10</v>
      </c>
      <c r="D208" s="1">
        <v>1170</v>
      </c>
    </row>
    <row r="209" spans="1:4">
      <c r="A209">
        <v>2022</v>
      </c>
      <c r="B209">
        <v>2</v>
      </c>
      <c r="C209">
        <v>11</v>
      </c>
      <c r="D209" s="1">
        <v>1800</v>
      </c>
    </row>
    <row r="210" spans="1:4">
      <c r="A210">
        <v>2022</v>
      </c>
      <c r="B210">
        <v>2</v>
      </c>
      <c r="C210">
        <v>12</v>
      </c>
      <c r="D210" s="1">
        <v>675</v>
      </c>
    </row>
    <row r="211" spans="1:4">
      <c r="A211">
        <v>2022</v>
      </c>
      <c r="B211">
        <v>2</v>
      </c>
      <c r="C211">
        <v>13</v>
      </c>
      <c r="D211" s="1">
        <v>960</v>
      </c>
    </row>
    <row r="212" spans="1:4">
      <c r="A212">
        <v>2022</v>
      </c>
      <c r="B212">
        <v>2</v>
      </c>
      <c r="C212">
        <v>14</v>
      </c>
      <c r="D212" s="1">
        <v>1410</v>
      </c>
    </row>
    <row r="213" spans="1:4">
      <c r="A213">
        <v>2022</v>
      </c>
      <c r="B213">
        <v>2</v>
      </c>
      <c r="C213">
        <v>15</v>
      </c>
      <c r="D213" s="1">
        <v>1170</v>
      </c>
    </row>
    <row r="214" spans="1:4">
      <c r="A214">
        <v>2022</v>
      </c>
      <c r="B214">
        <v>2</v>
      </c>
      <c r="C214">
        <v>16</v>
      </c>
      <c r="D214" s="1">
        <v>750</v>
      </c>
    </row>
    <row r="215" spans="1:4">
      <c r="A215">
        <v>2022</v>
      </c>
      <c r="B215">
        <v>2</v>
      </c>
      <c r="C215">
        <v>17</v>
      </c>
      <c r="D215" s="1">
        <v>1080</v>
      </c>
    </row>
    <row r="216" spans="1:4">
      <c r="A216">
        <v>2022</v>
      </c>
      <c r="B216">
        <v>2</v>
      </c>
      <c r="C216">
        <v>18</v>
      </c>
      <c r="D216" s="1">
        <v>1200</v>
      </c>
    </row>
    <row r="217" spans="1:4">
      <c r="A217">
        <v>2022</v>
      </c>
      <c r="B217">
        <v>2</v>
      </c>
      <c r="C217">
        <v>19</v>
      </c>
      <c r="D217" s="1">
        <v>2175</v>
      </c>
    </row>
    <row r="218" spans="1:4">
      <c r="A218">
        <v>2022</v>
      </c>
      <c r="B218">
        <v>2</v>
      </c>
      <c r="C218">
        <v>20</v>
      </c>
      <c r="D218" s="1">
        <v>495</v>
      </c>
    </row>
    <row r="219" spans="1:4">
      <c r="A219">
        <v>2022</v>
      </c>
      <c r="B219">
        <v>2</v>
      </c>
      <c r="C219">
        <v>21</v>
      </c>
      <c r="D219" s="1">
        <v>1320</v>
      </c>
    </row>
    <row r="220" spans="1:4">
      <c r="A220">
        <v>2022</v>
      </c>
      <c r="B220">
        <v>2</v>
      </c>
      <c r="C220">
        <v>22</v>
      </c>
      <c r="D220" s="1">
        <v>960</v>
      </c>
    </row>
    <row r="221" spans="1:4">
      <c r="A221">
        <v>2022</v>
      </c>
      <c r="B221">
        <v>2</v>
      </c>
      <c r="C221">
        <v>23</v>
      </c>
      <c r="D221" s="1">
        <v>555</v>
      </c>
    </row>
    <row r="222" spans="1:4">
      <c r="A222">
        <v>2022</v>
      </c>
      <c r="B222">
        <v>2</v>
      </c>
      <c r="C222">
        <v>24</v>
      </c>
      <c r="D222" s="1">
        <v>1560</v>
      </c>
    </row>
    <row r="223" spans="1:4">
      <c r="A223">
        <v>2022</v>
      </c>
      <c r="B223">
        <v>2</v>
      </c>
      <c r="C223">
        <v>25</v>
      </c>
      <c r="D223" s="1">
        <v>350</v>
      </c>
    </row>
    <row r="224" spans="1:4">
      <c r="A224">
        <v>2022</v>
      </c>
      <c r="B224">
        <v>2</v>
      </c>
      <c r="C224">
        <v>26</v>
      </c>
      <c r="D224" s="1">
        <v>1820</v>
      </c>
    </row>
    <row r="225" spans="1:4">
      <c r="A225">
        <v>2022</v>
      </c>
      <c r="B225">
        <v>2</v>
      </c>
      <c r="C225">
        <v>27</v>
      </c>
      <c r="D225" s="1">
        <v>585</v>
      </c>
    </row>
    <row r="226" spans="1:4">
      <c r="A226">
        <v>2022</v>
      </c>
      <c r="B226">
        <v>2</v>
      </c>
      <c r="C226">
        <v>28</v>
      </c>
      <c r="D226" s="1">
        <v>510</v>
      </c>
    </row>
    <row r="227" spans="1:4">
      <c r="A227">
        <v>2022</v>
      </c>
      <c r="B227">
        <v>3</v>
      </c>
      <c r="C227">
        <v>1</v>
      </c>
      <c r="D227" s="1">
        <v>810</v>
      </c>
    </row>
    <row r="228" spans="1:4">
      <c r="A228">
        <v>2022</v>
      </c>
      <c r="B228">
        <v>3</v>
      </c>
      <c r="C228">
        <v>2</v>
      </c>
      <c r="D228" s="1">
        <v>240</v>
      </c>
    </row>
    <row r="229" spans="1:4">
      <c r="A229">
        <v>2022</v>
      </c>
      <c r="B229">
        <v>3</v>
      </c>
      <c r="C229">
        <v>3</v>
      </c>
      <c r="D229" s="1">
        <v>2460</v>
      </c>
    </row>
    <row r="230" spans="1:4">
      <c r="A230">
        <v>2022</v>
      </c>
      <c r="B230">
        <v>3</v>
      </c>
      <c r="C230">
        <v>4</v>
      </c>
      <c r="D230" s="1">
        <v>255</v>
      </c>
    </row>
    <row r="231" spans="1:4">
      <c r="A231">
        <v>2022</v>
      </c>
      <c r="B231">
        <v>3</v>
      </c>
      <c r="C231">
        <v>5</v>
      </c>
      <c r="D231" s="1">
        <v>375</v>
      </c>
    </row>
    <row r="232" spans="1:4">
      <c r="A232">
        <v>2022</v>
      </c>
      <c r="B232">
        <v>3</v>
      </c>
      <c r="C232">
        <v>6</v>
      </c>
      <c r="D232" s="1">
        <v>690</v>
      </c>
    </row>
    <row r="233" spans="1:4">
      <c r="A233">
        <v>2022</v>
      </c>
      <c r="B233">
        <v>3</v>
      </c>
      <c r="C233">
        <v>7</v>
      </c>
      <c r="D233" s="1">
        <v>410</v>
      </c>
    </row>
    <row r="234" spans="1:4">
      <c r="A234">
        <v>2022</v>
      </c>
      <c r="B234">
        <v>3</v>
      </c>
      <c r="C234">
        <v>8</v>
      </c>
      <c r="D234" s="1">
        <v>1020</v>
      </c>
    </row>
    <row r="235" spans="1:4">
      <c r="A235">
        <v>2022</v>
      </c>
      <c r="B235">
        <v>3</v>
      </c>
      <c r="C235">
        <v>9</v>
      </c>
      <c r="D235" s="1">
        <v>2175</v>
      </c>
    </row>
    <row r="236" spans="1:4">
      <c r="A236">
        <v>2022</v>
      </c>
      <c r="B236">
        <v>3</v>
      </c>
      <c r="C236">
        <v>10</v>
      </c>
      <c r="D236" s="1">
        <v>755</v>
      </c>
    </row>
    <row r="237" spans="1:4">
      <c r="A237">
        <v>2022</v>
      </c>
      <c r="B237">
        <v>3</v>
      </c>
      <c r="C237">
        <v>11</v>
      </c>
      <c r="D237" s="1">
        <v>885</v>
      </c>
    </row>
    <row r="238" spans="1:4">
      <c r="A238">
        <v>2022</v>
      </c>
      <c r="B238">
        <v>3</v>
      </c>
      <c r="C238">
        <v>12</v>
      </c>
      <c r="D238" s="1">
        <v>435</v>
      </c>
    </row>
    <row r="239" spans="1:4">
      <c r="A239">
        <v>2022</v>
      </c>
      <c r="B239">
        <v>3</v>
      </c>
      <c r="C239">
        <v>13</v>
      </c>
      <c r="D239" s="1">
        <v>705</v>
      </c>
    </row>
    <row r="240" spans="1:4">
      <c r="A240">
        <v>2022</v>
      </c>
      <c r="B240">
        <v>3</v>
      </c>
      <c r="C240">
        <v>14</v>
      </c>
      <c r="D240" s="1">
        <v>300</v>
      </c>
    </row>
    <row r="241" spans="1:4">
      <c r="A241">
        <v>2022</v>
      </c>
      <c r="B241">
        <v>3</v>
      </c>
      <c r="C241">
        <v>15</v>
      </c>
      <c r="D241" s="1">
        <v>660</v>
      </c>
    </row>
    <row r="242" spans="1:4">
      <c r="A242">
        <v>2022</v>
      </c>
      <c r="B242">
        <v>3</v>
      </c>
      <c r="C242">
        <v>16</v>
      </c>
      <c r="D242" s="1">
        <v>2550</v>
      </c>
    </row>
    <row r="243" spans="1:4">
      <c r="A243">
        <v>2022</v>
      </c>
      <c r="B243">
        <v>3</v>
      </c>
      <c r="C243">
        <v>17</v>
      </c>
      <c r="D243" s="1">
        <v>825</v>
      </c>
    </row>
    <row r="244" spans="1:4">
      <c r="A244">
        <v>2022</v>
      </c>
      <c r="B244">
        <v>3</v>
      </c>
      <c r="C244">
        <v>18</v>
      </c>
      <c r="D244" s="1">
        <v>705</v>
      </c>
    </row>
    <row r="245" spans="1:4">
      <c r="A245">
        <v>2022</v>
      </c>
      <c r="B245">
        <v>3</v>
      </c>
      <c r="C245">
        <v>19</v>
      </c>
      <c r="D245" s="1">
        <v>630</v>
      </c>
    </row>
    <row r="246" spans="1:4">
      <c r="A246">
        <v>2022</v>
      </c>
      <c r="B246">
        <v>3</v>
      </c>
      <c r="C246">
        <v>20</v>
      </c>
      <c r="D246" s="1">
        <v>1620</v>
      </c>
    </row>
    <row r="247" spans="1:4">
      <c r="A247">
        <v>2022</v>
      </c>
      <c r="B247">
        <v>3</v>
      </c>
      <c r="C247">
        <v>21</v>
      </c>
      <c r="D247" s="1">
        <v>515</v>
      </c>
    </row>
    <row r="248" spans="1:4">
      <c r="A248">
        <v>2022</v>
      </c>
      <c r="B248">
        <v>3</v>
      </c>
      <c r="C248">
        <v>22</v>
      </c>
      <c r="D248" s="1">
        <v>300</v>
      </c>
    </row>
    <row r="249" spans="1:4">
      <c r="A249">
        <v>2022</v>
      </c>
      <c r="B249">
        <v>3</v>
      </c>
      <c r="C249">
        <v>23</v>
      </c>
      <c r="D249" s="1">
        <v>960</v>
      </c>
    </row>
    <row r="250" spans="1:4">
      <c r="A250">
        <v>2022</v>
      </c>
      <c r="B250">
        <v>3</v>
      </c>
      <c r="C250">
        <v>24</v>
      </c>
      <c r="D250" s="1">
        <v>1775</v>
      </c>
    </row>
    <row r="251" spans="1:4">
      <c r="A251">
        <v>2022</v>
      </c>
      <c r="B251">
        <v>3</v>
      </c>
      <c r="C251">
        <v>25</v>
      </c>
      <c r="D251" s="1">
        <v>780</v>
      </c>
    </row>
    <row r="252" spans="1:4">
      <c r="A252">
        <v>2022</v>
      </c>
      <c r="B252">
        <v>3</v>
      </c>
      <c r="C252">
        <v>26</v>
      </c>
      <c r="D252" s="1">
        <v>1125</v>
      </c>
    </row>
    <row r="253" spans="1:4">
      <c r="A253">
        <v>2022</v>
      </c>
      <c r="B253">
        <v>3</v>
      </c>
      <c r="C253">
        <v>27</v>
      </c>
      <c r="D253" s="1">
        <v>630</v>
      </c>
    </row>
    <row r="254" spans="1:4">
      <c r="A254">
        <v>2022</v>
      </c>
      <c r="B254">
        <v>3</v>
      </c>
      <c r="C254">
        <v>28</v>
      </c>
      <c r="D254" s="1">
        <v>1200</v>
      </c>
    </row>
    <row r="255" spans="1:4">
      <c r="A255">
        <v>2022</v>
      </c>
      <c r="B255">
        <v>3</v>
      </c>
      <c r="C255">
        <v>29</v>
      </c>
      <c r="D255" s="1">
        <v>1395</v>
      </c>
    </row>
    <row r="256" spans="1:4">
      <c r="A256">
        <v>2022</v>
      </c>
      <c r="B256">
        <v>3</v>
      </c>
      <c r="C256">
        <v>30</v>
      </c>
      <c r="D256" s="1">
        <v>1005</v>
      </c>
    </row>
    <row r="257" spans="1:4">
      <c r="A257">
        <v>2022</v>
      </c>
      <c r="B257">
        <v>3</v>
      </c>
      <c r="C257">
        <v>31</v>
      </c>
      <c r="D257" s="1">
        <v>975</v>
      </c>
    </row>
    <row r="258" spans="1:4">
      <c r="A258">
        <v>2022</v>
      </c>
      <c r="B258">
        <v>4</v>
      </c>
      <c r="C258">
        <v>1</v>
      </c>
      <c r="D258" s="1">
        <v>1770</v>
      </c>
    </row>
    <row r="259" spans="1:4">
      <c r="A259">
        <v>2022</v>
      </c>
      <c r="B259">
        <v>4</v>
      </c>
      <c r="C259">
        <v>2</v>
      </c>
      <c r="D259" s="1">
        <v>710</v>
      </c>
    </row>
    <row r="260" spans="1:4">
      <c r="A260">
        <v>2022</v>
      </c>
      <c r="B260">
        <v>4</v>
      </c>
      <c r="C260">
        <v>3</v>
      </c>
      <c r="D260" s="1">
        <v>1500</v>
      </c>
    </row>
    <row r="261" spans="1:4">
      <c r="A261">
        <v>2022</v>
      </c>
      <c r="B261">
        <v>4</v>
      </c>
      <c r="C261">
        <v>4</v>
      </c>
      <c r="D261" s="1">
        <v>1050</v>
      </c>
    </row>
    <row r="262" spans="1:4">
      <c r="A262">
        <v>2022</v>
      </c>
      <c r="B262">
        <v>4</v>
      </c>
      <c r="C262">
        <v>5</v>
      </c>
      <c r="D262" s="1">
        <v>1110</v>
      </c>
    </row>
    <row r="263" spans="1:4">
      <c r="A263">
        <v>2022</v>
      </c>
      <c r="B263">
        <v>4</v>
      </c>
      <c r="C263">
        <v>6</v>
      </c>
      <c r="D263" s="1">
        <v>1275</v>
      </c>
    </row>
    <row r="264" spans="1:4">
      <c r="A264">
        <v>2022</v>
      </c>
      <c r="B264">
        <v>4</v>
      </c>
      <c r="C264">
        <v>7</v>
      </c>
      <c r="D264" s="1">
        <v>615</v>
      </c>
    </row>
    <row r="265" spans="1:4">
      <c r="A265">
        <v>2022</v>
      </c>
      <c r="B265">
        <v>4</v>
      </c>
      <c r="C265">
        <v>8</v>
      </c>
      <c r="D265" s="1">
        <v>1500</v>
      </c>
    </row>
    <row r="266" spans="1:4">
      <c r="A266">
        <v>2022</v>
      </c>
      <c r="B266">
        <v>4</v>
      </c>
      <c r="C266">
        <v>9</v>
      </c>
      <c r="D266" s="1">
        <v>960</v>
      </c>
    </row>
    <row r="267" spans="1:4">
      <c r="A267">
        <v>2022</v>
      </c>
      <c r="B267">
        <v>4</v>
      </c>
      <c r="C267">
        <v>10</v>
      </c>
      <c r="D267" s="1">
        <v>210</v>
      </c>
    </row>
    <row r="268" spans="1:4">
      <c r="A268">
        <v>2022</v>
      </c>
      <c r="B268">
        <v>4</v>
      </c>
      <c r="C268">
        <v>11</v>
      </c>
      <c r="D268" s="1">
        <v>300</v>
      </c>
    </row>
    <row r="269" spans="1:4">
      <c r="A269">
        <v>2022</v>
      </c>
      <c r="B269">
        <v>4</v>
      </c>
      <c r="C269">
        <v>12</v>
      </c>
      <c r="D269" s="1">
        <v>1485</v>
      </c>
    </row>
    <row r="270" spans="1:4">
      <c r="A270">
        <v>2022</v>
      </c>
      <c r="B270">
        <v>4</v>
      </c>
      <c r="C270">
        <v>13</v>
      </c>
      <c r="D270" s="1">
        <v>1155</v>
      </c>
    </row>
    <row r="271" spans="1:4">
      <c r="A271">
        <v>2022</v>
      </c>
      <c r="B271">
        <v>4</v>
      </c>
      <c r="C271">
        <v>14</v>
      </c>
      <c r="D271" s="1">
        <v>990</v>
      </c>
    </row>
    <row r="272" spans="1:4">
      <c r="A272">
        <v>2022</v>
      </c>
      <c r="B272">
        <v>4</v>
      </c>
      <c r="C272">
        <v>15</v>
      </c>
      <c r="D272" s="1">
        <v>585</v>
      </c>
    </row>
    <row r="273" spans="1:4">
      <c r="A273">
        <v>2022</v>
      </c>
      <c r="B273">
        <v>4</v>
      </c>
      <c r="C273">
        <v>16</v>
      </c>
      <c r="D273" s="1">
        <v>315</v>
      </c>
    </row>
    <row r="274" spans="1:4">
      <c r="A274">
        <v>2022</v>
      </c>
      <c r="B274">
        <v>4</v>
      </c>
      <c r="C274">
        <v>17</v>
      </c>
      <c r="D274" s="1">
        <v>945</v>
      </c>
    </row>
    <row r="275" spans="1:4">
      <c r="A275">
        <v>2022</v>
      </c>
      <c r="B275">
        <v>4</v>
      </c>
      <c r="C275">
        <v>18</v>
      </c>
      <c r="D275" s="1">
        <v>600</v>
      </c>
    </row>
    <row r="276" spans="1:4">
      <c r="A276">
        <v>2022</v>
      </c>
      <c r="B276">
        <v>4</v>
      </c>
      <c r="C276">
        <v>19</v>
      </c>
      <c r="D276" s="1">
        <v>1590</v>
      </c>
    </row>
    <row r="277" spans="1:4">
      <c r="A277">
        <v>2022</v>
      </c>
      <c r="B277">
        <v>4</v>
      </c>
      <c r="C277">
        <v>20</v>
      </c>
      <c r="D277" s="1">
        <v>1680</v>
      </c>
    </row>
    <row r="278" spans="1:4">
      <c r="A278">
        <v>2022</v>
      </c>
      <c r="B278">
        <v>4</v>
      </c>
      <c r="C278">
        <v>21</v>
      </c>
      <c r="D278" s="1">
        <v>1005</v>
      </c>
    </row>
    <row r="279" spans="1:4">
      <c r="A279">
        <v>2022</v>
      </c>
      <c r="B279">
        <v>4</v>
      </c>
      <c r="C279">
        <v>22</v>
      </c>
      <c r="D279" s="1">
        <v>2130</v>
      </c>
    </row>
    <row r="280" spans="1:4">
      <c r="A280">
        <v>2022</v>
      </c>
      <c r="B280">
        <v>4</v>
      </c>
      <c r="C280">
        <v>23</v>
      </c>
      <c r="D280" s="1">
        <v>870</v>
      </c>
    </row>
    <row r="281" spans="1:4">
      <c r="A281">
        <v>2022</v>
      </c>
      <c r="B281">
        <v>4</v>
      </c>
      <c r="C281">
        <v>24</v>
      </c>
      <c r="D281" s="1">
        <v>195</v>
      </c>
    </row>
    <row r="282" spans="1:4">
      <c r="A282">
        <v>2022</v>
      </c>
      <c r="B282">
        <v>4</v>
      </c>
      <c r="C282">
        <v>25</v>
      </c>
      <c r="D282" s="1">
        <v>0</v>
      </c>
    </row>
    <row r="283" spans="1:4">
      <c r="A283">
        <v>2022</v>
      </c>
      <c r="B283">
        <v>4</v>
      </c>
      <c r="C283">
        <v>26</v>
      </c>
      <c r="D283" s="1">
        <v>75</v>
      </c>
    </row>
    <row r="284" spans="1:4">
      <c r="A284">
        <v>2022</v>
      </c>
      <c r="B284">
        <v>4</v>
      </c>
      <c r="C284">
        <v>27</v>
      </c>
      <c r="D284" s="1">
        <v>1755</v>
      </c>
    </row>
    <row r="285" spans="1:4">
      <c r="A285">
        <v>2022</v>
      </c>
      <c r="B285">
        <v>4</v>
      </c>
      <c r="C285">
        <v>28</v>
      </c>
      <c r="D285" s="1">
        <v>300</v>
      </c>
    </row>
    <row r="286" spans="1:4">
      <c r="A286">
        <v>2022</v>
      </c>
      <c r="B286">
        <v>4</v>
      </c>
      <c r="C286">
        <v>29</v>
      </c>
      <c r="D286" s="1">
        <v>975</v>
      </c>
    </row>
    <row r="287" spans="1:4">
      <c r="A287">
        <v>2022</v>
      </c>
      <c r="B287">
        <v>4</v>
      </c>
      <c r="C287">
        <v>30</v>
      </c>
      <c r="D287" s="1">
        <v>420</v>
      </c>
    </row>
    <row r="288" spans="1:4">
      <c r="A288">
        <v>2022</v>
      </c>
      <c r="B288">
        <v>5</v>
      </c>
      <c r="C288">
        <v>1</v>
      </c>
      <c r="D288" s="1">
        <v>1470</v>
      </c>
    </row>
    <row r="289" spans="1:4">
      <c r="A289">
        <v>2022</v>
      </c>
      <c r="B289">
        <v>5</v>
      </c>
      <c r="C289">
        <v>2</v>
      </c>
      <c r="D289" s="1">
        <v>780</v>
      </c>
    </row>
    <row r="290" spans="1:4">
      <c r="A290">
        <v>2022</v>
      </c>
      <c r="B290">
        <v>5</v>
      </c>
      <c r="C290">
        <v>3</v>
      </c>
      <c r="D290" s="1">
        <v>510</v>
      </c>
    </row>
    <row r="291" spans="1:4">
      <c r="A291">
        <v>2022</v>
      </c>
      <c r="B291">
        <v>5</v>
      </c>
      <c r="C291">
        <v>4</v>
      </c>
      <c r="D291" s="1">
        <v>1260</v>
      </c>
    </row>
    <row r="292" spans="1:4">
      <c r="A292">
        <v>2022</v>
      </c>
      <c r="B292">
        <v>5</v>
      </c>
      <c r="C292">
        <v>5</v>
      </c>
      <c r="D292" s="1">
        <v>2985</v>
      </c>
    </row>
    <row r="293" spans="1:4">
      <c r="A293">
        <v>2022</v>
      </c>
      <c r="B293">
        <v>5</v>
      </c>
      <c r="C293">
        <v>6</v>
      </c>
      <c r="D293" s="1">
        <v>225</v>
      </c>
    </row>
    <row r="294" spans="1:4">
      <c r="A294">
        <v>2022</v>
      </c>
      <c r="B294">
        <v>5</v>
      </c>
      <c r="C294">
        <v>8</v>
      </c>
      <c r="D294" s="1">
        <v>0</v>
      </c>
    </row>
    <row r="295" spans="1:4">
      <c r="A295">
        <v>2022</v>
      </c>
      <c r="B295">
        <v>5</v>
      </c>
      <c r="C295">
        <v>16</v>
      </c>
      <c r="D295" s="1">
        <v>0</v>
      </c>
    </row>
    <row r="296" spans="1:4">
      <c r="A296">
        <v>2022</v>
      </c>
      <c r="B296">
        <v>5</v>
      </c>
      <c r="C296">
        <v>17</v>
      </c>
      <c r="D296" s="1">
        <v>555</v>
      </c>
    </row>
    <row r="297" spans="1:4">
      <c r="A297">
        <v>2022</v>
      </c>
      <c r="B297">
        <v>5</v>
      </c>
      <c r="C297">
        <v>18</v>
      </c>
      <c r="D297" s="1">
        <v>75</v>
      </c>
    </row>
    <row r="298" spans="1:4">
      <c r="A298">
        <v>2022</v>
      </c>
      <c r="B298">
        <v>6</v>
      </c>
      <c r="C298">
        <v>7</v>
      </c>
      <c r="D298" s="1">
        <v>0</v>
      </c>
    </row>
    <row r="299" spans="1:4">
      <c r="A299">
        <v>2022</v>
      </c>
      <c r="B299">
        <v>6</v>
      </c>
      <c r="C299">
        <v>8</v>
      </c>
      <c r="D299" s="1">
        <v>1665</v>
      </c>
    </row>
    <row r="300" spans="1:4">
      <c r="A300">
        <v>2022</v>
      </c>
      <c r="B300">
        <v>6</v>
      </c>
      <c r="C300">
        <v>9</v>
      </c>
      <c r="D300" s="1">
        <v>45</v>
      </c>
    </row>
    <row r="301" spans="1:4">
      <c r="A301">
        <v>2022</v>
      </c>
      <c r="B301">
        <v>6</v>
      </c>
      <c r="C301">
        <v>10</v>
      </c>
      <c r="D301" s="1">
        <v>135</v>
      </c>
    </row>
    <row r="302" spans="1:4">
      <c r="A302">
        <v>2022</v>
      </c>
      <c r="B302">
        <v>7</v>
      </c>
      <c r="C302">
        <v>27</v>
      </c>
      <c r="D302" s="1">
        <v>0</v>
      </c>
    </row>
    <row r="303" spans="1:4">
      <c r="A303">
        <v>2022</v>
      </c>
      <c r="B303">
        <v>8</v>
      </c>
      <c r="C303">
        <v>1</v>
      </c>
      <c r="D303" s="1">
        <v>0</v>
      </c>
    </row>
    <row r="304" spans="1:4">
      <c r="A304">
        <v>2022</v>
      </c>
      <c r="B304">
        <v>10</v>
      </c>
      <c r="C304">
        <v>26</v>
      </c>
      <c r="D304" s="1">
        <v>105</v>
      </c>
    </row>
    <row r="305" spans="1:4">
      <c r="A305">
        <v>2022</v>
      </c>
      <c r="B305">
        <v>10</v>
      </c>
      <c r="C305">
        <v>27</v>
      </c>
      <c r="D305" s="1">
        <v>1665</v>
      </c>
    </row>
    <row r="306" spans="1:4">
      <c r="A306">
        <v>2022</v>
      </c>
      <c r="B306">
        <v>10</v>
      </c>
      <c r="C306">
        <v>28</v>
      </c>
      <c r="D306" s="1">
        <v>795</v>
      </c>
    </row>
    <row r="307" spans="1:4">
      <c r="A307">
        <v>2022</v>
      </c>
      <c r="B307">
        <v>10</v>
      </c>
      <c r="C307">
        <v>29</v>
      </c>
      <c r="D307" s="1">
        <v>270</v>
      </c>
    </row>
    <row r="308" spans="1:4">
      <c r="A308">
        <v>2022</v>
      </c>
      <c r="B308">
        <v>10</v>
      </c>
      <c r="C308">
        <v>30</v>
      </c>
      <c r="D308" s="1">
        <v>270</v>
      </c>
    </row>
    <row r="309" spans="1:4">
      <c r="A309">
        <v>2022</v>
      </c>
      <c r="B309">
        <v>10</v>
      </c>
      <c r="C309">
        <v>31</v>
      </c>
      <c r="D309" s="1">
        <v>570</v>
      </c>
    </row>
    <row r="310" spans="1:4">
      <c r="A310">
        <v>2022</v>
      </c>
      <c r="B310">
        <v>11</v>
      </c>
      <c r="C310">
        <v>1</v>
      </c>
      <c r="D310" s="1">
        <v>1845</v>
      </c>
    </row>
    <row r="311" spans="1:4">
      <c r="A311">
        <v>2022</v>
      </c>
      <c r="B311">
        <v>11</v>
      </c>
      <c r="C311">
        <v>2</v>
      </c>
      <c r="D311" s="1">
        <v>885</v>
      </c>
    </row>
    <row r="312" spans="1:4">
      <c r="A312">
        <v>2022</v>
      </c>
      <c r="B312">
        <v>11</v>
      </c>
      <c r="C312">
        <v>3</v>
      </c>
      <c r="D312" s="1">
        <v>455</v>
      </c>
    </row>
    <row r="313" spans="1:4">
      <c r="A313">
        <v>2022</v>
      </c>
      <c r="B313">
        <v>11</v>
      </c>
      <c r="C313">
        <v>4</v>
      </c>
      <c r="D313" s="1">
        <v>165</v>
      </c>
    </row>
    <row r="314" spans="1:4">
      <c r="A314">
        <v>2022</v>
      </c>
      <c r="B314">
        <v>11</v>
      </c>
      <c r="C314">
        <v>5</v>
      </c>
      <c r="D314" s="1">
        <v>1380</v>
      </c>
    </row>
    <row r="315" spans="1:4">
      <c r="A315">
        <v>2022</v>
      </c>
      <c r="B315">
        <v>11</v>
      </c>
      <c r="C315">
        <v>6</v>
      </c>
      <c r="D315" s="1">
        <v>855</v>
      </c>
    </row>
    <row r="316" spans="1:4">
      <c r="A316">
        <v>2022</v>
      </c>
      <c r="B316">
        <v>11</v>
      </c>
      <c r="C316">
        <v>7</v>
      </c>
      <c r="D316" s="1">
        <v>1695</v>
      </c>
    </row>
    <row r="317" spans="1:4">
      <c r="A317">
        <v>2022</v>
      </c>
      <c r="B317">
        <v>11</v>
      </c>
      <c r="C317">
        <v>8</v>
      </c>
      <c r="D317" s="1">
        <v>1005</v>
      </c>
    </row>
    <row r="318" spans="1:4">
      <c r="A318">
        <v>2022</v>
      </c>
      <c r="B318">
        <v>11</v>
      </c>
      <c r="C318">
        <v>9</v>
      </c>
      <c r="D318" s="1">
        <v>1455</v>
      </c>
    </row>
    <row r="319" spans="1:4">
      <c r="A319">
        <v>2022</v>
      </c>
      <c r="B319">
        <v>11</v>
      </c>
      <c r="C319">
        <v>10</v>
      </c>
      <c r="D319" s="1">
        <v>2130</v>
      </c>
    </row>
    <row r="320" spans="1:4">
      <c r="A320">
        <v>2022</v>
      </c>
      <c r="B320">
        <v>11</v>
      </c>
      <c r="C320">
        <v>11</v>
      </c>
      <c r="D320" s="1">
        <v>2820</v>
      </c>
    </row>
    <row r="321" spans="1:4">
      <c r="A321">
        <v>2022</v>
      </c>
      <c r="B321">
        <v>11</v>
      </c>
      <c r="C321">
        <v>12</v>
      </c>
      <c r="D321" s="1">
        <v>2055</v>
      </c>
    </row>
    <row r="322" spans="1:4">
      <c r="A322">
        <v>2022</v>
      </c>
      <c r="B322">
        <v>11</v>
      </c>
      <c r="C322">
        <v>13</v>
      </c>
      <c r="D322" s="1">
        <v>1250</v>
      </c>
    </row>
    <row r="323" spans="1:4">
      <c r="A323">
        <v>2022</v>
      </c>
      <c r="B323">
        <v>11</v>
      </c>
      <c r="C323">
        <v>14</v>
      </c>
      <c r="D323" s="1">
        <v>950</v>
      </c>
    </row>
    <row r="324" spans="1:4">
      <c r="A324">
        <v>2022</v>
      </c>
      <c r="B324">
        <v>11</v>
      </c>
      <c r="C324">
        <v>15</v>
      </c>
      <c r="D324" s="1">
        <v>1980</v>
      </c>
    </row>
    <row r="325" spans="1:4">
      <c r="A325">
        <v>2022</v>
      </c>
      <c r="B325">
        <v>11</v>
      </c>
      <c r="C325">
        <v>16</v>
      </c>
      <c r="D325" s="1">
        <v>1260</v>
      </c>
    </row>
    <row r="326" spans="1:4">
      <c r="A326">
        <v>2022</v>
      </c>
      <c r="B326">
        <v>11</v>
      </c>
      <c r="C326">
        <v>17</v>
      </c>
      <c r="D326" s="1">
        <v>930</v>
      </c>
    </row>
    <row r="327" spans="1:4">
      <c r="A327">
        <v>2022</v>
      </c>
      <c r="B327">
        <v>11</v>
      </c>
      <c r="C327">
        <v>18</v>
      </c>
      <c r="D327" s="1">
        <v>3125</v>
      </c>
    </row>
    <row r="328" spans="1:4">
      <c r="A328">
        <v>2022</v>
      </c>
      <c r="B328">
        <v>11</v>
      </c>
      <c r="C328">
        <v>19</v>
      </c>
      <c r="D328" s="1">
        <v>525</v>
      </c>
    </row>
    <row r="329" spans="1:4">
      <c r="A329">
        <v>2022</v>
      </c>
      <c r="B329">
        <v>11</v>
      </c>
      <c r="C329">
        <v>20</v>
      </c>
      <c r="D329" s="1">
        <v>1035</v>
      </c>
    </row>
    <row r="330" spans="1:4">
      <c r="A330">
        <v>2022</v>
      </c>
      <c r="B330">
        <v>11</v>
      </c>
      <c r="C330">
        <v>21</v>
      </c>
      <c r="D330" s="1">
        <v>960</v>
      </c>
    </row>
    <row r="331" spans="1:4">
      <c r="A331">
        <v>2022</v>
      </c>
      <c r="B331">
        <v>11</v>
      </c>
      <c r="C331">
        <v>22</v>
      </c>
      <c r="D331" s="1">
        <v>525</v>
      </c>
    </row>
    <row r="332" spans="1:4">
      <c r="A332">
        <v>2022</v>
      </c>
      <c r="B332">
        <v>11</v>
      </c>
      <c r="C332">
        <v>23</v>
      </c>
      <c r="D332" s="1">
        <v>450</v>
      </c>
    </row>
    <row r="333" spans="1:4">
      <c r="A333">
        <v>2022</v>
      </c>
      <c r="B333">
        <v>11</v>
      </c>
      <c r="C333">
        <v>24</v>
      </c>
      <c r="D333" s="1">
        <v>1275</v>
      </c>
    </row>
    <row r="334" spans="1:4">
      <c r="A334">
        <v>2022</v>
      </c>
      <c r="B334">
        <v>11</v>
      </c>
      <c r="C334">
        <v>25</v>
      </c>
      <c r="D334" s="1">
        <v>1275</v>
      </c>
    </row>
    <row r="335" spans="1:4">
      <c r="A335">
        <v>2022</v>
      </c>
      <c r="B335">
        <v>11</v>
      </c>
      <c r="C335">
        <v>26</v>
      </c>
      <c r="D335" s="1">
        <v>1305</v>
      </c>
    </row>
    <row r="336" spans="1:4">
      <c r="A336">
        <v>2022</v>
      </c>
      <c r="B336">
        <v>11</v>
      </c>
      <c r="C336">
        <v>27</v>
      </c>
      <c r="D336" s="1">
        <v>1920</v>
      </c>
    </row>
    <row r="337" spans="1:4">
      <c r="A337">
        <v>2022</v>
      </c>
      <c r="B337">
        <v>11</v>
      </c>
      <c r="C337">
        <v>28</v>
      </c>
      <c r="D337" s="1">
        <v>1500</v>
      </c>
    </row>
    <row r="338" spans="1:4">
      <c r="A338">
        <v>2022</v>
      </c>
      <c r="B338">
        <v>11</v>
      </c>
      <c r="C338">
        <v>29</v>
      </c>
      <c r="D338" s="1">
        <v>1710</v>
      </c>
    </row>
    <row r="339" spans="1:4">
      <c r="A339">
        <v>2022</v>
      </c>
      <c r="B339">
        <v>11</v>
      </c>
      <c r="C339">
        <v>30</v>
      </c>
      <c r="D339" s="1">
        <v>2010</v>
      </c>
    </row>
    <row r="340" spans="1:4">
      <c r="A340">
        <v>2022</v>
      </c>
      <c r="B340">
        <v>12</v>
      </c>
      <c r="C340">
        <v>1</v>
      </c>
      <c r="D340" s="1">
        <v>780</v>
      </c>
    </row>
    <row r="341" spans="1:4">
      <c r="A341">
        <v>2022</v>
      </c>
      <c r="B341">
        <v>12</v>
      </c>
      <c r="C341">
        <v>2</v>
      </c>
      <c r="D341" s="1">
        <v>2010</v>
      </c>
    </row>
    <row r="342" spans="1:4">
      <c r="A342">
        <v>2022</v>
      </c>
      <c r="B342">
        <v>12</v>
      </c>
      <c r="C342">
        <v>3</v>
      </c>
      <c r="D342" s="1">
        <v>2550</v>
      </c>
    </row>
    <row r="343" spans="1:4">
      <c r="A343">
        <v>2022</v>
      </c>
      <c r="B343">
        <v>12</v>
      </c>
      <c r="C343">
        <v>4</v>
      </c>
      <c r="D343" s="1">
        <v>945</v>
      </c>
    </row>
    <row r="344" spans="1:4">
      <c r="A344">
        <v>2022</v>
      </c>
      <c r="B344">
        <v>12</v>
      </c>
      <c r="C344">
        <v>5</v>
      </c>
      <c r="D344" s="1">
        <v>810</v>
      </c>
    </row>
    <row r="345" spans="1:4">
      <c r="A345">
        <v>2022</v>
      </c>
      <c r="B345">
        <v>12</v>
      </c>
      <c r="C345">
        <v>6</v>
      </c>
      <c r="D345" s="1">
        <v>2130</v>
      </c>
    </row>
    <row r="346" spans="1:4">
      <c r="A346">
        <v>2022</v>
      </c>
      <c r="B346">
        <v>12</v>
      </c>
      <c r="C346">
        <v>7</v>
      </c>
      <c r="D346" s="1">
        <v>1425</v>
      </c>
    </row>
    <row r="347" spans="1:4">
      <c r="A347">
        <v>2022</v>
      </c>
      <c r="B347">
        <v>12</v>
      </c>
      <c r="C347">
        <v>8</v>
      </c>
      <c r="D347" s="1">
        <v>4455</v>
      </c>
    </row>
    <row r="348" spans="1:4">
      <c r="A348">
        <v>2022</v>
      </c>
      <c r="B348">
        <v>12</v>
      </c>
      <c r="C348">
        <v>9</v>
      </c>
      <c r="D348" s="1">
        <v>2355</v>
      </c>
    </row>
    <row r="349" spans="1:4">
      <c r="A349">
        <v>2022</v>
      </c>
      <c r="B349">
        <v>12</v>
      </c>
      <c r="C349">
        <v>10</v>
      </c>
      <c r="D349" s="1">
        <v>2550</v>
      </c>
    </row>
    <row r="350" spans="1:4">
      <c r="A350">
        <v>2022</v>
      </c>
      <c r="B350">
        <v>12</v>
      </c>
      <c r="C350">
        <v>11</v>
      </c>
      <c r="D350" s="1">
        <v>1545</v>
      </c>
    </row>
    <row r="351" spans="1:4">
      <c r="A351">
        <v>2022</v>
      </c>
      <c r="B351">
        <v>12</v>
      </c>
      <c r="C351">
        <v>12</v>
      </c>
      <c r="D351" s="1">
        <v>1305</v>
      </c>
    </row>
    <row r="352" spans="1:4">
      <c r="A352">
        <v>2022</v>
      </c>
      <c r="B352">
        <v>12</v>
      </c>
      <c r="C352">
        <v>13</v>
      </c>
      <c r="D352" s="1">
        <v>2040</v>
      </c>
    </row>
    <row r="353" spans="1:4">
      <c r="A353">
        <v>2022</v>
      </c>
      <c r="B353">
        <v>12</v>
      </c>
      <c r="C353">
        <v>14</v>
      </c>
      <c r="D353" s="1">
        <v>1725</v>
      </c>
    </row>
    <row r="354" spans="1:4">
      <c r="A354">
        <v>2022</v>
      </c>
      <c r="B354">
        <v>12</v>
      </c>
      <c r="C354">
        <v>15</v>
      </c>
      <c r="D354" s="1">
        <v>1200</v>
      </c>
    </row>
    <row r="355" spans="1:4">
      <c r="A355">
        <v>2022</v>
      </c>
      <c r="B355">
        <v>12</v>
      </c>
      <c r="C355">
        <v>16</v>
      </c>
      <c r="D355" s="1">
        <v>1575</v>
      </c>
    </row>
    <row r="356" spans="1:4">
      <c r="A356">
        <v>2022</v>
      </c>
      <c r="B356">
        <v>12</v>
      </c>
      <c r="C356">
        <v>17</v>
      </c>
      <c r="D356" s="1">
        <v>4500</v>
      </c>
    </row>
    <row r="357" spans="1:4">
      <c r="A357">
        <v>2022</v>
      </c>
      <c r="B357">
        <v>12</v>
      </c>
      <c r="C357">
        <v>18</v>
      </c>
      <c r="D357" s="1">
        <v>1320</v>
      </c>
    </row>
    <row r="358" spans="1:4">
      <c r="A358">
        <v>2022</v>
      </c>
      <c r="B358">
        <v>12</v>
      </c>
      <c r="C358">
        <v>19</v>
      </c>
      <c r="D358" s="1">
        <v>2685</v>
      </c>
    </row>
    <row r="359" spans="1:4">
      <c r="A359">
        <v>2022</v>
      </c>
      <c r="B359">
        <v>12</v>
      </c>
      <c r="C359">
        <v>20</v>
      </c>
      <c r="D359" s="1">
        <v>3990</v>
      </c>
    </row>
    <row r="360" spans="1:4">
      <c r="A360">
        <v>2022</v>
      </c>
      <c r="B360">
        <v>12</v>
      </c>
      <c r="C360">
        <v>21</v>
      </c>
      <c r="D360" s="1">
        <v>4785</v>
      </c>
    </row>
    <row r="361" spans="1:4">
      <c r="A361">
        <v>2022</v>
      </c>
      <c r="B361">
        <v>12</v>
      </c>
      <c r="C361">
        <v>22</v>
      </c>
      <c r="D361" s="1">
        <v>2385</v>
      </c>
    </row>
    <row r="362" spans="1:4">
      <c r="A362">
        <v>2022</v>
      </c>
      <c r="B362">
        <v>12</v>
      </c>
      <c r="C362">
        <v>23</v>
      </c>
      <c r="D362" s="1">
        <v>1020</v>
      </c>
    </row>
    <row r="363" spans="1:4">
      <c r="A363">
        <v>2022</v>
      </c>
      <c r="B363">
        <v>12</v>
      </c>
      <c r="C363">
        <v>24</v>
      </c>
      <c r="D363" s="1">
        <v>285</v>
      </c>
    </row>
    <row r="364" spans="1:4">
      <c r="A364">
        <v>2022</v>
      </c>
      <c r="B364">
        <v>12</v>
      </c>
      <c r="C364">
        <v>25</v>
      </c>
      <c r="D364" s="1">
        <v>180</v>
      </c>
    </row>
    <row r="365" spans="1:4">
      <c r="A365">
        <v>2022</v>
      </c>
      <c r="B365">
        <v>12</v>
      </c>
      <c r="C365">
        <v>26</v>
      </c>
      <c r="D365" s="1">
        <v>690</v>
      </c>
    </row>
    <row r="366" spans="1:4">
      <c r="A366">
        <v>2022</v>
      </c>
      <c r="B366">
        <v>12</v>
      </c>
      <c r="C366">
        <v>27</v>
      </c>
      <c r="D366" s="1">
        <v>885</v>
      </c>
    </row>
    <row r="367" spans="1:4">
      <c r="A367">
        <v>2022</v>
      </c>
      <c r="B367">
        <v>12</v>
      </c>
      <c r="C367">
        <v>28</v>
      </c>
      <c r="D367" s="1">
        <v>2910</v>
      </c>
    </row>
    <row r="368" spans="1:4">
      <c r="A368">
        <v>2022</v>
      </c>
      <c r="B368">
        <v>12</v>
      </c>
      <c r="C368">
        <v>29</v>
      </c>
      <c r="D368" s="1">
        <v>1230</v>
      </c>
    </row>
    <row r="369" spans="1:4">
      <c r="A369">
        <v>2022</v>
      </c>
      <c r="B369">
        <v>12</v>
      </c>
      <c r="C369">
        <v>30</v>
      </c>
      <c r="D369" s="1">
        <v>1155</v>
      </c>
    </row>
    <row r="370" spans="1:13">
      <c r="A370">
        <v>2022</v>
      </c>
      <c r="B370">
        <v>12</v>
      </c>
      <c r="C370">
        <v>31</v>
      </c>
      <c r="D370" s="1">
        <v>315</v>
      </c>
      <c r="L370" t="s">
        <v>19</v>
      </c>
      <c r="M370" t="s">
        <v>20</v>
      </c>
    </row>
    <row r="371" spans="1:13">
      <c r="A371">
        <v>2023</v>
      </c>
      <c r="B371">
        <v>1</v>
      </c>
      <c r="C371">
        <v>1</v>
      </c>
      <c r="D371" s="1">
        <v>195</v>
      </c>
      <c r="E371" s="5">
        <v>44927</v>
      </c>
      <c r="F371" s="6" t="s">
        <v>21</v>
      </c>
      <c r="G371" s="7">
        <v>-206.9</v>
      </c>
      <c r="H371">
        <f>ABS(G371)-D371</f>
        <v>11.9</v>
      </c>
      <c r="I371" s="8">
        <f>G371*1.16</f>
        <v>-240.004</v>
      </c>
      <c r="J371" s="8">
        <f>(I371/15)*5</f>
        <v>-80.0013333333333</v>
      </c>
      <c r="K371" t="s">
        <v>22</v>
      </c>
      <c r="L371" s="8">
        <f>SUM(I371:I401)</f>
        <v>-43438.0096</v>
      </c>
      <c r="M371" s="9">
        <f>SUM(D371:D401)</f>
        <v>30470</v>
      </c>
    </row>
    <row r="372" spans="1:10">
      <c r="A372">
        <v>2023</v>
      </c>
      <c r="B372">
        <v>1</v>
      </c>
      <c r="C372">
        <v>2</v>
      </c>
      <c r="D372" s="1">
        <v>285</v>
      </c>
      <c r="E372" s="5">
        <v>44928</v>
      </c>
      <c r="F372" s="6" t="s">
        <v>21</v>
      </c>
      <c r="G372" s="7">
        <v>-543.1</v>
      </c>
      <c r="H372">
        <f t="shared" ref="H372:H383" si="0">ABS(G372)-D372</f>
        <v>258.1</v>
      </c>
      <c r="I372" s="8">
        <f t="shared" ref="I372:I401" si="1">G372*1.16</f>
        <v>-629.996</v>
      </c>
      <c r="J372" s="8">
        <f t="shared" ref="J372:J401" si="2">(I372/15)*5</f>
        <v>-209.998666666667</v>
      </c>
    </row>
    <row r="373" spans="1:10">
      <c r="A373">
        <v>2023</v>
      </c>
      <c r="B373">
        <v>1</v>
      </c>
      <c r="C373">
        <v>3</v>
      </c>
      <c r="D373" s="1">
        <v>915</v>
      </c>
      <c r="E373" s="5">
        <v>44929</v>
      </c>
      <c r="F373" s="6" t="s">
        <v>21</v>
      </c>
      <c r="G373" s="7">
        <v>-1672.41</v>
      </c>
      <c r="H373">
        <f t="shared" si="0"/>
        <v>757.41</v>
      </c>
      <c r="I373" s="8">
        <f t="shared" si="1"/>
        <v>-1939.9956</v>
      </c>
      <c r="J373" s="8">
        <f t="shared" si="2"/>
        <v>-646.6652</v>
      </c>
    </row>
    <row r="374" spans="1:10">
      <c r="A374">
        <v>2023</v>
      </c>
      <c r="B374">
        <v>1</v>
      </c>
      <c r="C374">
        <v>4</v>
      </c>
      <c r="D374" s="1">
        <v>1425</v>
      </c>
      <c r="E374" s="5">
        <v>44930</v>
      </c>
      <c r="F374" s="6" t="s">
        <v>21</v>
      </c>
      <c r="G374" s="7">
        <v>-1344.83</v>
      </c>
      <c r="H374">
        <f t="shared" si="0"/>
        <v>-80.1700000000001</v>
      </c>
      <c r="I374" s="8">
        <f t="shared" si="1"/>
        <v>-1560.0028</v>
      </c>
      <c r="J374" s="8">
        <f t="shared" si="2"/>
        <v>-520.000933333333</v>
      </c>
    </row>
    <row r="375" spans="1:10">
      <c r="A375">
        <v>2023</v>
      </c>
      <c r="B375">
        <v>1</v>
      </c>
      <c r="C375">
        <v>5</v>
      </c>
      <c r="D375" s="1">
        <v>360</v>
      </c>
      <c r="E375" s="5">
        <v>44931</v>
      </c>
      <c r="F375" s="6" t="s">
        <v>21</v>
      </c>
      <c r="G375" s="7">
        <v>-396.55</v>
      </c>
      <c r="H375">
        <f t="shared" si="0"/>
        <v>36.55</v>
      </c>
      <c r="I375" s="8">
        <f t="shared" si="1"/>
        <v>-459.998</v>
      </c>
      <c r="J375" s="8">
        <f t="shared" si="2"/>
        <v>-153.332666666667</v>
      </c>
    </row>
    <row r="376" spans="1:10">
      <c r="A376">
        <v>2023</v>
      </c>
      <c r="B376">
        <v>1</v>
      </c>
      <c r="C376">
        <v>6</v>
      </c>
      <c r="D376" s="1">
        <v>255</v>
      </c>
      <c r="E376" s="5">
        <v>44932</v>
      </c>
      <c r="F376" s="6" t="s">
        <v>21</v>
      </c>
      <c r="G376" s="7">
        <v>-620.69</v>
      </c>
      <c r="H376">
        <f t="shared" si="0"/>
        <v>365.69</v>
      </c>
      <c r="I376" s="8">
        <f t="shared" si="1"/>
        <v>-720.0004</v>
      </c>
      <c r="J376" s="8">
        <f t="shared" si="2"/>
        <v>-240.000133333333</v>
      </c>
    </row>
    <row r="377" spans="1:10">
      <c r="A377">
        <v>2023</v>
      </c>
      <c r="B377">
        <v>1</v>
      </c>
      <c r="C377">
        <v>7</v>
      </c>
      <c r="D377" s="1">
        <v>2160</v>
      </c>
      <c r="E377" s="5">
        <v>44933</v>
      </c>
      <c r="F377" s="6" t="s">
        <v>21</v>
      </c>
      <c r="G377" s="7">
        <v>-1750</v>
      </c>
      <c r="H377">
        <f t="shared" si="0"/>
        <v>-410</v>
      </c>
      <c r="I377" s="8">
        <f t="shared" si="1"/>
        <v>-2030</v>
      </c>
      <c r="J377" s="8">
        <f t="shared" si="2"/>
        <v>-676.666666666667</v>
      </c>
    </row>
    <row r="378" spans="1:10">
      <c r="A378">
        <v>2023</v>
      </c>
      <c r="B378">
        <v>1</v>
      </c>
      <c r="C378">
        <v>8</v>
      </c>
      <c r="D378" s="1">
        <v>645</v>
      </c>
      <c r="E378" s="5">
        <v>44934</v>
      </c>
      <c r="F378" s="6" t="s">
        <v>21</v>
      </c>
      <c r="G378" s="7">
        <v>-793.1</v>
      </c>
      <c r="H378">
        <f t="shared" si="0"/>
        <v>148.1</v>
      </c>
      <c r="I378" s="8">
        <f t="shared" si="1"/>
        <v>-919.996</v>
      </c>
      <c r="J378" s="8">
        <f t="shared" si="2"/>
        <v>-306.665333333333</v>
      </c>
    </row>
    <row r="379" spans="1:10">
      <c r="A379">
        <v>2023</v>
      </c>
      <c r="B379">
        <v>1</v>
      </c>
      <c r="C379">
        <v>9</v>
      </c>
      <c r="D379" s="1">
        <v>585</v>
      </c>
      <c r="E379" s="5">
        <v>44935</v>
      </c>
      <c r="F379" s="6" t="s">
        <v>21</v>
      </c>
      <c r="G379" s="7">
        <v>-943.97</v>
      </c>
      <c r="H379">
        <f t="shared" si="0"/>
        <v>358.97</v>
      </c>
      <c r="I379" s="8">
        <f t="shared" si="1"/>
        <v>-1095.0052</v>
      </c>
      <c r="J379" s="8">
        <f t="shared" si="2"/>
        <v>-365.001733333333</v>
      </c>
    </row>
    <row r="380" spans="1:10">
      <c r="A380">
        <v>2023</v>
      </c>
      <c r="B380">
        <v>1</v>
      </c>
      <c r="C380">
        <v>10</v>
      </c>
      <c r="D380" s="1">
        <v>900</v>
      </c>
      <c r="E380" s="5">
        <v>44936</v>
      </c>
      <c r="F380" s="6" t="s">
        <v>21</v>
      </c>
      <c r="G380" s="7">
        <v>-1137.93</v>
      </c>
      <c r="H380">
        <f t="shared" si="0"/>
        <v>237.93</v>
      </c>
      <c r="I380" s="8">
        <f t="shared" si="1"/>
        <v>-1319.9988</v>
      </c>
      <c r="J380" s="8">
        <f t="shared" si="2"/>
        <v>-439.9996</v>
      </c>
    </row>
    <row r="381" spans="1:10">
      <c r="A381">
        <v>2023</v>
      </c>
      <c r="B381">
        <v>1</v>
      </c>
      <c r="C381">
        <v>11</v>
      </c>
      <c r="D381" s="1">
        <v>2580</v>
      </c>
      <c r="E381" s="5">
        <v>44937</v>
      </c>
      <c r="F381" s="6" t="s">
        <v>21</v>
      </c>
      <c r="G381" s="7">
        <v>-2724.14</v>
      </c>
      <c r="H381">
        <f t="shared" si="0"/>
        <v>144.14</v>
      </c>
      <c r="I381" s="8">
        <f t="shared" si="1"/>
        <v>-3160.0024</v>
      </c>
      <c r="J381" s="8">
        <f t="shared" si="2"/>
        <v>-1053.33413333333</v>
      </c>
    </row>
    <row r="382" spans="1:10">
      <c r="A382">
        <v>2023</v>
      </c>
      <c r="B382">
        <v>1</v>
      </c>
      <c r="C382">
        <v>12</v>
      </c>
      <c r="D382" s="1">
        <v>600</v>
      </c>
      <c r="E382" s="5">
        <v>44938</v>
      </c>
      <c r="F382" s="6" t="s">
        <v>21</v>
      </c>
      <c r="G382" s="7">
        <v>-866.38</v>
      </c>
      <c r="H382">
        <f t="shared" si="0"/>
        <v>266.38</v>
      </c>
      <c r="I382" s="8">
        <f t="shared" si="1"/>
        <v>-1005.0008</v>
      </c>
      <c r="J382" s="8">
        <f t="shared" si="2"/>
        <v>-335.000266666667</v>
      </c>
    </row>
    <row r="383" spans="1:10">
      <c r="A383">
        <v>2023</v>
      </c>
      <c r="B383">
        <v>1</v>
      </c>
      <c r="C383">
        <v>13</v>
      </c>
      <c r="D383" s="1">
        <v>1190</v>
      </c>
      <c r="E383" s="5">
        <v>44939</v>
      </c>
      <c r="F383" s="6" t="s">
        <v>21</v>
      </c>
      <c r="G383" s="7">
        <v>-948.28</v>
      </c>
      <c r="H383">
        <f>ABS(G383)-D383</f>
        <v>-241.72</v>
      </c>
      <c r="I383" s="8">
        <f t="shared" si="1"/>
        <v>-1100.0048</v>
      </c>
      <c r="J383" s="8">
        <f t="shared" si="2"/>
        <v>-366.668266666667</v>
      </c>
    </row>
    <row r="384" spans="1:10">
      <c r="A384">
        <v>2023</v>
      </c>
      <c r="B384">
        <v>1</v>
      </c>
      <c r="C384">
        <v>14</v>
      </c>
      <c r="D384" s="1">
        <v>1125</v>
      </c>
      <c r="E384" s="5">
        <v>44940</v>
      </c>
      <c r="F384" s="6" t="s">
        <v>21</v>
      </c>
      <c r="G384" s="7">
        <v>-1202.59</v>
      </c>
      <c r="H384">
        <f t="shared" ref="H384:H401" si="3">ABS(G384)-D384</f>
        <v>77.5899999999999</v>
      </c>
      <c r="I384" s="8">
        <f t="shared" si="1"/>
        <v>-1395.0044</v>
      </c>
      <c r="J384" s="8">
        <f t="shared" si="2"/>
        <v>-465.001466666667</v>
      </c>
    </row>
    <row r="385" spans="1:10">
      <c r="A385">
        <v>2023</v>
      </c>
      <c r="B385">
        <v>1</v>
      </c>
      <c r="C385">
        <v>15</v>
      </c>
      <c r="D385" s="1">
        <v>315</v>
      </c>
      <c r="E385" s="5">
        <v>44941</v>
      </c>
      <c r="F385" s="6" t="s">
        <v>21</v>
      </c>
      <c r="G385" s="7">
        <v>-918.1</v>
      </c>
      <c r="H385">
        <f t="shared" si="3"/>
        <v>603.1</v>
      </c>
      <c r="I385" s="8">
        <f t="shared" si="1"/>
        <v>-1064.996</v>
      </c>
      <c r="J385" s="8">
        <f t="shared" si="2"/>
        <v>-354.998666666667</v>
      </c>
    </row>
    <row r="386" spans="1:10">
      <c r="A386">
        <v>2023</v>
      </c>
      <c r="B386">
        <v>1</v>
      </c>
      <c r="C386">
        <v>16</v>
      </c>
      <c r="D386" s="1">
        <v>1035</v>
      </c>
      <c r="E386" s="5">
        <v>44942</v>
      </c>
      <c r="F386" s="6" t="s">
        <v>21</v>
      </c>
      <c r="G386" s="7">
        <v>-2114.66</v>
      </c>
      <c r="H386">
        <f t="shared" si="3"/>
        <v>1079.66</v>
      </c>
      <c r="I386" s="8">
        <f t="shared" si="1"/>
        <v>-2453.0056</v>
      </c>
      <c r="J386" s="8">
        <f t="shared" si="2"/>
        <v>-817.668533333333</v>
      </c>
    </row>
    <row r="387" spans="1:10">
      <c r="A387">
        <v>2023</v>
      </c>
      <c r="B387">
        <v>1</v>
      </c>
      <c r="C387">
        <v>17</v>
      </c>
      <c r="D387" s="1">
        <v>615</v>
      </c>
      <c r="E387" s="5">
        <v>44943</v>
      </c>
      <c r="F387" s="6" t="s">
        <v>21</v>
      </c>
      <c r="G387" s="7">
        <v>-918.1</v>
      </c>
      <c r="H387">
        <f t="shared" si="3"/>
        <v>303.1</v>
      </c>
      <c r="I387" s="8">
        <f t="shared" si="1"/>
        <v>-1064.996</v>
      </c>
      <c r="J387" s="8">
        <f t="shared" si="2"/>
        <v>-354.998666666667</v>
      </c>
    </row>
    <row r="388" spans="1:10">
      <c r="A388">
        <v>2023</v>
      </c>
      <c r="B388">
        <v>1</v>
      </c>
      <c r="C388">
        <v>18</v>
      </c>
      <c r="D388" s="1">
        <v>2130</v>
      </c>
      <c r="E388" s="5">
        <v>44944</v>
      </c>
      <c r="F388" s="6" t="s">
        <v>21</v>
      </c>
      <c r="G388" s="7">
        <v>-2431.03</v>
      </c>
      <c r="H388">
        <f t="shared" si="3"/>
        <v>301.03</v>
      </c>
      <c r="I388" s="8">
        <f t="shared" si="1"/>
        <v>-2819.9948</v>
      </c>
      <c r="J388" s="8">
        <f t="shared" si="2"/>
        <v>-939.998266666667</v>
      </c>
    </row>
    <row r="389" spans="1:10">
      <c r="A389">
        <v>2023</v>
      </c>
      <c r="B389">
        <v>1</v>
      </c>
      <c r="C389">
        <v>19</v>
      </c>
      <c r="D389" s="1">
        <v>480</v>
      </c>
      <c r="E389" s="5">
        <v>44945</v>
      </c>
      <c r="F389" s="6" t="s">
        <v>21</v>
      </c>
      <c r="G389" s="7">
        <v>-883.62</v>
      </c>
      <c r="H389">
        <f t="shared" si="3"/>
        <v>403.62</v>
      </c>
      <c r="I389" s="8">
        <f t="shared" si="1"/>
        <v>-1024.9992</v>
      </c>
      <c r="J389" s="8">
        <f t="shared" si="2"/>
        <v>-341.6664</v>
      </c>
    </row>
    <row r="390" spans="1:10">
      <c r="A390">
        <v>2023</v>
      </c>
      <c r="B390">
        <v>1</v>
      </c>
      <c r="C390">
        <v>20</v>
      </c>
      <c r="D390" s="1">
        <v>1305</v>
      </c>
      <c r="E390" s="5">
        <v>44946</v>
      </c>
      <c r="F390" s="6" t="s">
        <v>21</v>
      </c>
      <c r="G390" s="7">
        <v>-1870.69</v>
      </c>
      <c r="H390">
        <f t="shared" si="3"/>
        <v>565.69</v>
      </c>
      <c r="I390" s="8">
        <f t="shared" si="1"/>
        <v>-2170.0004</v>
      </c>
      <c r="J390" s="8">
        <f t="shared" si="2"/>
        <v>-723.333466666667</v>
      </c>
    </row>
    <row r="391" spans="1:10">
      <c r="A391">
        <v>2023</v>
      </c>
      <c r="B391">
        <v>1</v>
      </c>
      <c r="C391">
        <v>21</v>
      </c>
      <c r="D391" s="1">
        <v>1530</v>
      </c>
      <c r="E391" s="5">
        <v>44947</v>
      </c>
      <c r="F391" s="6" t="s">
        <v>21</v>
      </c>
      <c r="G391" s="7">
        <v>-1681.03</v>
      </c>
      <c r="H391">
        <f t="shared" si="3"/>
        <v>151.03</v>
      </c>
      <c r="I391" s="8">
        <f t="shared" si="1"/>
        <v>-1949.9948</v>
      </c>
      <c r="J391" s="8">
        <f t="shared" si="2"/>
        <v>-649.998266666667</v>
      </c>
    </row>
    <row r="392" spans="1:10">
      <c r="A392">
        <v>2023</v>
      </c>
      <c r="B392">
        <v>1</v>
      </c>
      <c r="C392">
        <v>22</v>
      </c>
      <c r="D392" s="1">
        <v>840</v>
      </c>
      <c r="E392" s="5">
        <v>44948</v>
      </c>
      <c r="F392" s="6" t="s">
        <v>21</v>
      </c>
      <c r="G392" s="7">
        <v>-1176.72</v>
      </c>
      <c r="H392">
        <f t="shared" si="3"/>
        <v>336.72</v>
      </c>
      <c r="I392" s="8">
        <f t="shared" si="1"/>
        <v>-1364.9952</v>
      </c>
      <c r="J392" s="8">
        <f t="shared" si="2"/>
        <v>-454.9984</v>
      </c>
    </row>
    <row r="393" spans="1:10">
      <c r="A393">
        <v>2023</v>
      </c>
      <c r="B393">
        <v>1</v>
      </c>
      <c r="C393">
        <v>23</v>
      </c>
      <c r="D393" s="1">
        <v>975</v>
      </c>
      <c r="E393" s="5">
        <v>44949</v>
      </c>
      <c r="F393" s="6" t="s">
        <v>21</v>
      </c>
      <c r="G393" s="7">
        <v>-1112.07</v>
      </c>
      <c r="H393">
        <f t="shared" si="3"/>
        <v>137.07</v>
      </c>
      <c r="I393" s="8">
        <f t="shared" si="1"/>
        <v>-1290.0012</v>
      </c>
      <c r="J393" s="8">
        <f t="shared" si="2"/>
        <v>-430.0004</v>
      </c>
    </row>
    <row r="394" spans="1:10">
      <c r="A394">
        <v>2023</v>
      </c>
      <c r="B394">
        <v>1</v>
      </c>
      <c r="C394">
        <v>24</v>
      </c>
      <c r="D394" s="1">
        <v>465</v>
      </c>
      <c r="E394" s="5">
        <v>44950</v>
      </c>
      <c r="F394" s="6" t="s">
        <v>21</v>
      </c>
      <c r="G394" s="7">
        <v>-478.45</v>
      </c>
      <c r="H394">
        <f t="shared" si="3"/>
        <v>13.45</v>
      </c>
      <c r="I394" s="8">
        <f t="shared" si="1"/>
        <v>-555.002</v>
      </c>
      <c r="J394" s="8">
        <f t="shared" si="2"/>
        <v>-185.000666666667</v>
      </c>
    </row>
    <row r="395" spans="1:10">
      <c r="A395">
        <v>2023</v>
      </c>
      <c r="B395">
        <v>1</v>
      </c>
      <c r="C395">
        <v>25</v>
      </c>
      <c r="D395" s="1">
        <v>3000</v>
      </c>
      <c r="E395" s="5">
        <v>44951</v>
      </c>
      <c r="F395" s="6" t="s">
        <v>21</v>
      </c>
      <c r="G395" s="7">
        <v>-2521.55</v>
      </c>
      <c r="H395">
        <f t="shared" si="3"/>
        <v>-478.45</v>
      </c>
      <c r="I395" s="8">
        <f t="shared" si="1"/>
        <v>-2924.998</v>
      </c>
      <c r="J395" s="8">
        <f t="shared" si="2"/>
        <v>-974.999333333333</v>
      </c>
    </row>
    <row r="396" spans="1:10">
      <c r="A396">
        <v>2023</v>
      </c>
      <c r="B396">
        <v>1</v>
      </c>
      <c r="C396">
        <v>26</v>
      </c>
      <c r="D396" s="1">
        <v>390</v>
      </c>
      <c r="E396" s="5">
        <v>44952</v>
      </c>
      <c r="F396" s="6" t="s">
        <v>21</v>
      </c>
      <c r="G396" s="7">
        <v>-568.97</v>
      </c>
      <c r="H396">
        <f t="shared" si="3"/>
        <v>178.97</v>
      </c>
      <c r="I396" s="8">
        <f t="shared" si="1"/>
        <v>-660.0052</v>
      </c>
      <c r="J396" s="8">
        <f t="shared" si="2"/>
        <v>-220.001733333333</v>
      </c>
    </row>
    <row r="397" spans="1:10">
      <c r="A397">
        <v>2023</v>
      </c>
      <c r="B397">
        <v>1</v>
      </c>
      <c r="C397">
        <v>27</v>
      </c>
      <c r="D397" s="1">
        <v>930</v>
      </c>
      <c r="E397" s="5">
        <v>44953</v>
      </c>
      <c r="F397" s="6" t="s">
        <v>21</v>
      </c>
      <c r="G397" s="7">
        <v>-1189.66</v>
      </c>
      <c r="H397">
        <f t="shared" si="3"/>
        <v>259.66</v>
      </c>
      <c r="I397" s="8">
        <f t="shared" si="1"/>
        <v>-1380.0056</v>
      </c>
      <c r="J397" s="8">
        <f t="shared" si="2"/>
        <v>-460.001866666667</v>
      </c>
    </row>
    <row r="398" spans="1:10">
      <c r="A398">
        <v>2023</v>
      </c>
      <c r="B398">
        <v>1</v>
      </c>
      <c r="C398">
        <v>28</v>
      </c>
      <c r="D398" s="1">
        <v>870</v>
      </c>
      <c r="E398" s="5">
        <v>44954</v>
      </c>
      <c r="F398" s="6" t="s">
        <v>21</v>
      </c>
      <c r="G398" s="7">
        <v>-1323.28</v>
      </c>
      <c r="H398">
        <f t="shared" si="3"/>
        <v>453.28</v>
      </c>
      <c r="I398" s="8">
        <f t="shared" si="1"/>
        <v>-1535.0048</v>
      </c>
      <c r="J398" s="8">
        <f t="shared" si="2"/>
        <v>-511.668266666667</v>
      </c>
    </row>
    <row r="399" spans="1:10">
      <c r="A399">
        <v>2023</v>
      </c>
      <c r="B399">
        <v>1</v>
      </c>
      <c r="C399">
        <v>29</v>
      </c>
      <c r="D399" s="1">
        <v>1110</v>
      </c>
      <c r="E399" s="5">
        <v>44955</v>
      </c>
      <c r="F399" s="6" t="s">
        <v>21</v>
      </c>
      <c r="G399" s="7">
        <v>-905.17</v>
      </c>
      <c r="H399">
        <f t="shared" si="3"/>
        <v>-204.83</v>
      </c>
      <c r="I399" s="8">
        <f t="shared" si="1"/>
        <v>-1049.9972</v>
      </c>
      <c r="J399" s="8">
        <f t="shared" si="2"/>
        <v>-349.999066666667</v>
      </c>
    </row>
    <row r="400" spans="1:10">
      <c r="A400">
        <v>2023</v>
      </c>
      <c r="B400">
        <v>1</v>
      </c>
      <c r="C400">
        <v>30</v>
      </c>
      <c r="D400" s="1">
        <v>645</v>
      </c>
      <c r="E400" s="5">
        <v>44956</v>
      </c>
      <c r="F400" s="6" t="s">
        <v>21</v>
      </c>
      <c r="G400" s="7">
        <v>-1607.76</v>
      </c>
      <c r="H400">
        <f t="shared" si="3"/>
        <v>962.76</v>
      </c>
      <c r="I400" s="8">
        <f t="shared" si="1"/>
        <v>-1865.0016</v>
      </c>
      <c r="J400" s="8">
        <f t="shared" si="2"/>
        <v>-621.6672</v>
      </c>
    </row>
    <row r="401" spans="1:10">
      <c r="A401">
        <v>2023</v>
      </c>
      <c r="B401">
        <v>1</v>
      </c>
      <c r="C401">
        <v>31</v>
      </c>
      <c r="D401" s="1">
        <v>615</v>
      </c>
      <c r="E401" s="5">
        <v>44957</v>
      </c>
      <c r="F401" s="6" t="s">
        <v>21</v>
      </c>
      <c r="G401" s="7">
        <v>-594.83</v>
      </c>
      <c r="H401">
        <f t="shared" si="3"/>
        <v>-20.17</v>
      </c>
      <c r="I401" s="8">
        <f t="shared" si="1"/>
        <v>-690.0028</v>
      </c>
      <c r="J401" s="8">
        <f t="shared" si="2"/>
        <v>-230.000933333333</v>
      </c>
    </row>
    <row r="402" spans="1:8">
      <c r="A402">
        <v>2023</v>
      </c>
      <c r="B402">
        <v>2</v>
      </c>
      <c r="C402">
        <v>1</v>
      </c>
      <c r="D402" s="1">
        <v>1995</v>
      </c>
      <c r="E402" s="10">
        <v>44958</v>
      </c>
      <c r="F402" s="11" t="s">
        <v>21</v>
      </c>
      <c r="G402" s="12">
        <v>-1939.66</v>
      </c>
      <c r="H402">
        <f t="shared" ref="H402:H428" si="4">ABS(G402)-D402</f>
        <v>-55.3399999999999</v>
      </c>
    </row>
    <row r="403" spans="1:8">
      <c r="A403">
        <v>2023</v>
      </c>
      <c r="B403">
        <v>2</v>
      </c>
      <c r="C403">
        <v>2</v>
      </c>
      <c r="D403" s="1">
        <v>360</v>
      </c>
      <c r="E403" s="10">
        <v>44959</v>
      </c>
      <c r="F403" s="11" t="s">
        <v>21</v>
      </c>
      <c r="G403" s="12">
        <v>-271.55</v>
      </c>
      <c r="H403">
        <f t="shared" si="4"/>
        <v>-88.45</v>
      </c>
    </row>
    <row r="404" spans="1:8">
      <c r="A404">
        <v>2023</v>
      </c>
      <c r="B404">
        <v>2</v>
      </c>
      <c r="C404">
        <v>3</v>
      </c>
      <c r="D404" s="1">
        <v>900</v>
      </c>
      <c r="E404" s="10">
        <v>44960</v>
      </c>
      <c r="F404" s="11" t="s">
        <v>21</v>
      </c>
      <c r="G404" s="12">
        <v>-1750</v>
      </c>
      <c r="H404">
        <f t="shared" si="4"/>
        <v>850</v>
      </c>
    </row>
    <row r="405" spans="1:8">
      <c r="A405">
        <v>2023</v>
      </c>
      <c r="B405">
        <v>2</v>
      </c>
      <c r="C405">
        <v>4</v>
      </c>
      <c r="D405" s="1">
        <v>1935</v>
      </c>
      <c r="E405" s="10">
        <v>44961</v>
      </c>
      <c r="F405" s="11" t="s">
        <v>21</v>
      </c>
      <c r="G405" s="12">
        <v>-1875</v>
      </c>
      <c r="H405">
        <f t="shared" si="4"/>
        <v>-60</v>
      </c>
    </row>
    <row r="406" spans="1:8">
      <c r="A406">
        <v>2023</v>
      </c>
      <c r="B406">
        <v>2</v>
      </c>
      <c r="C406">
        <v>5</v>
      </c>
      <c r="D406" s="1">
        <v>270</v>
      </c>
      <c r="E406" s="10">
        <v>44962</v>
      </c>
      <c r="F406" s="11" t="s">
        <v>21</v>
      </c>
      <c r="G406" s="12">
        <v>-1452.59</v>
      </c>
      <c r="H406">
        <f t="shared" si="4"/>
        <v>1182.59</v>
      </c>
    </row>
    <row r="407" spans="1:8">
      <c r="A407">
        <v>2023</v>
      </c>
      <c r="B407">
        <v>2</v>
      </c>
      <c r="C407">
        <v>6</v>
      </c>
      <c r="D407" s="1">
        <v>1140</v>
      </c>
      <c r="E407" s="10">
        <v>44963</v>
      </c>
      <c r="F407" s="11" t="s">
        <v>21</v>
      </c>
      <c r="G407" s="12">
        <v>-1370.69</v>
      </c>
      <c r="H407">
        <f t="shared" si="4"/>
        <v>230.69</v>
      </c>
    </row>
    <row r="408" spans="1:8">
      <c r="A408">
        <v>2023</v>
      </c>
      <c r="B408">
        <v>2</v>
      </c>
      <c r="C408">
        <v>7</v>
      </c>
      <c r="D408" s="1">
        <v>1185</v>
      </c>
      <c r="E408" s="10">
        <v>44964</v>
      </c>
      <c r="F408" s="11" t="s">
        <v>21</v>
      </c>
      <c r="G408" s="12">
        <v>-1215.52</v>
      </c>
      <c r="H408">
        <f t="shared" si="4"/>
        <v>30.52</v>
      </c>
    </row>
    <row r="409" spans="1:8">
      <c r="A409">
        <v>2023</v>
      </c>
      <c r="B409">
        <v>2</v>
      </c>
      <c r="C409">
        <v>8</v>
      </c>
      <c r="D409" s="1">
        <v>1365</v>
      </c>
      <c r="E409" s="10">
        <v>44965</v>
      </c>
      <c r="F409" s="11" t="s">
        <v>21</v>
      </c>
      <c r="G409" s="12">
        <v>-1448.28</v>
      </c>
      <c r="H409">
        <f t="shared" si="4"/>
        <v>83.28</v>
      </c>
    </row>
    <row r="410" spans="1:8">
      <c r="A410">
        <v>2023</v>
      </c>
      <c r="B410">
        <v>2</v>
      </c>
      <c r="C410">
        <v>9</v>
      </c>
      <c r="D410" s="1">
        <v>1710</v>
      </c>
      <c r="E410" s="10">
        <v>44966</v>
      </c>
      <c r="F410" s="11" t="s">
        <v>21</v>
      </c>
      <c r="G410" s="12">
        <v>-1991.38</v>
      </c>
      <c r="H410">
        <f t="shared" si="4"/>
        <v>281.38</v>
      </c>
    </row>
    <row r="411" spans="1:8">
      <c r="A411">
        <v>2023</v>
      </c>
      <c r="B411">
        <v>2</v>
      </c>
      <c r="C411">
        <v>10</v>
      </c>
      <c r="D411" s="1">
        <v>45</v>
      </c>
      <c r="E411" s="10">
        <v>44967</v>
      </c>
      <c r="F411" s="11" t="s">
        <v>21</v>
      </c>
      <c r="G411" s="12">
        <v>-465.52</v>
      </c>
      <c r="H411">
        <f t="shared" si="4"/>
        <v>420.52</v>
      </c>
    </row>
    <row r="412" spans="1:8">
      <c r="A412">
        <v>2023</v>
      </c>
      <c r="B412">
        <v>2</v>
      </c>
      <c r="C412">
        <v>11</v>
      </c>
      <c r="D412" s="1">
        <v>1320</v>
      </c>
      <c r="E412" s="10">
        <v>44968</v>
      </c>
      <c r="F412" s="11" t="s">
        <v>21</v>
      </c>
      <c r="G412" s="12">
        <v>-1038.79</v>
      </c>
      <c r="H412">
        <f t="shared" si="4"/>
        <v>-281.21</v>
      </c>
    </row>
    <row r="413" spans="1:8">
      <c r="A413">
        <v>2023</v>
      </c>
      <c r="B413">
        <v>2</v>
      </c>
      <c r="C413">
        <v>12</v>
      </c>
      <c r="D413" s="1">
        <v>825</v>
      </c>
      <c r="E413" s="10">
        <v>44969</v>
      </c>
      <c r="F413" s="11" t="s">
        <v>21</v>
      </c>
      <c r="G413" s="12">
        <v>-1090.52</v>
      </c>
      <c r="H413">
        <f t="shared" si="4"/>
        <v>265.52</v>
      </c>
    </row>
    <row r="414" spans="1:8">
      <c r="A414">
        <v>2023</v>
      </c>
      <c r="B414">
        <v>2</v>
      </c>
      <c r="C414">
        <v>13</v>
      </c>
      <c r="D414" s="1">
        <v>555</v>
      </c>
      <c r="E414" s="10">
        <v>44970</v>
      </c>
      <c r="F414" s="11" t="s">
        <v>21</v>
      </c>
      <c r="G414" s="12">
        <v>-737.07</v>
      </c>
      <c r="H414">
        <f t="shared" si="4"/>
        <v>182.07</v>
      </c>
    </row>
    <row r="415" spans="1:8">
      <c r="A415">
        <v>2023</v>
      </c>
      <c r="B415">
        <v>2</v>
      </c>
      <c r="C415">
        <v>14</v>
      </c>
      <c r="D415" s="1">
        <v>360</v>
      </c>
      <c r="E415" s="10">
        <v>44971</v>
      </c>
      <c r="F415" s="11" t="s">
        <v>21</v>
      </c>
      <c r="G415" s="12">
        <v>-443.97</v>
      </c>
      <c r="H415">
        <f t="shared" si="4"/>
        <v>83.97</v>
      </c>
    </row>
    <row r="416" spans="1:8">
      <c r="A416">
        <v>2023</v>
      </c>
      <c r="B416">
        <v>2</v>
      </c>
      <c r="C416">
        <v>15</v>
      </c>
      <c r="D416" s="1">
        <v>1710</v>
      </c>
      <c r="E416" s="10">
        <v>44972</v>
      </c>
      <c r="F416" s="11" t="s">
        <v>21</v>
      </c>
      <c r="G416" s="12">
        <v>-2741.38</v>
      </c>
      <c r="H416">
        <f t="shared" si="4"/>
        <v>1031.38</v>
      </c>
    </row>
    <row r="417" spans="1:8">
      <c r="A417">
        <v>2023</v>
      </c>
      <c r="B417">
        <v>2</v>
      </c>
      <c r="C417">
        <v>16</v>
      </c>
      <c r="D417" s="1">
        <v>1725</v>
      </c>
      <c r="E417" s="10">
        <v>44973</v>
      </c>
      <c r="F417" s="11" t="s">
        <v>21</v>
      </c>
      <c r="G417" s="12">
        <v>-581.9</v>
      </c>
      <c r="H417">
        <f t="shared" si="4"/>
        <v>-1143.1</v>
      </c>
    </row>
    <row r="418" spans="1:8">
      <c r="A418">
        <v>2023</v>
      </c>
      <c r="B418">
        <v>2</v>
      </c>
      <c r="C418">
        <v>17</v>
      </c>
      <c r="D418" s="1">
        <v>420</v>
      </c>
      <c r="E418" s="10">
        <v>44974</v>
      </c>
      <c r="F418" s="11" t="s">
        <v>21</v>
      </c>
      <c r="G418" s="12">
        <v>-620.69</v>
      </c>
      <c r="H418">
        <f t="shared" si="4"/>
        <v>200.69</v>
      </c>
    </row>
    <row r="419" spans="1:8">
      <c r="A419">
        <v>2023</v>
      </c>
      <c r="B419">
        <v>2</v>
      </c>
      <c r="C419">
        <v>18</v>
      </c>
      <c r="D419" s="1">
        <v>1950</v>
      </c>
      <c r="E419" s="10">
        <v>44975</v>
      </c>
      <c r="F419" s="11" t="s">
        <v>21</v>
      </c>
      <c r="G419" s="12">
        <v>-1577.59</v>
      </c>
      <c r="H419">
        <f t="shared" si="4"/>
        <v>-372.41</v>
      </c>
    </row>
    <row r="420" spans="1:8">
      <c r="A420">
        <v>2023</v>
      </c>
      <c r="B420">
        <v>2</v>
      </c>
      <c r="C420">
        <v>19</v>
      </c>
      <c r="D420" s="1">
        <v>1020</v>
      </c>
      <c r="E420" s="10">
        <v>44976</v>
      </c>
      <c r="F420" s="11" t="s">
        <v>21</v>
      </c>
      <c r="G420" s="12">
        <v>-1862.07</v>
      </c>
      <c r="H420">
        <f t="shared" si="4"/>
        <v>842.07</v>
      </c>
    </row>
    <row r="421" spans="1:8">
      <c r="A421">
        <v>2023</v>
      </c>
      <c r="B421">
        <v>2</v>
      </c>
      <c r="C421">
        <v>20</v>
      </c>
      <c r="D421" s="1">
        <v>1050</v>
      </c>
      <c r="E421" s="10">
        <v>44977</v>
      </c>
      <c r="F421" s="11" t="s">
        <v>21</v>
      </c>
      <c r="G421" s="12">
        <v>-1137.93</v>
      </c>
      <c r="H421">
        <f t="shared" si="4"/>
        <v>87.9300000000001</v>
      </c>
    </row>
    <row r="422" spans="1:8">
      <c r="A422">
        <v>2023</v>
      </c>
      <c r="B422">
        <v>2</v>
      </c>
      <c r="C422">
        <v>21</v>
      </c>
      <c r="D422" s="1">
        <v>315</v>
      </c>
      <c r="E422" s="10">
        <v>44978</v>
      </c>
      <c r="F422" s="11" t="s">
        <v>21</v>
      </c>
      <c r="G422" s="12">
        <v>-478.45</v>
      </c>
      <c r="H422">
        <f t="shared" si="4"/>
        <v>163.45</v>
      </c>
    </row>
    <row r="423" spans="1:8">
      <c r="A423">
        <v>2023</v>
      </c>
      <c r="B423">
        <v>2</v>
      </c>
      <c r="C423">
        <v>22</v>
      </c>
      <c r="D423" s="1">
        <v>435</v>
      </c>
      <c r="E423" s="10">
        <v>44980</v>
      </c>
      <c r="F423" s="11" t="s">
        <v>21</v>
      </c>
      <c r="G423" s="12">
        <v>-504.31</v>
      </c>
      <c r="H423">
        <f t="shared" si="4"/>
        <v>69.31</v>
      </c>
    </row>
    <row r="424" spans="1:8">
      <c r="A424">
        <v>2023</v>
      </c>
      <c r="B424">
        <v>2</v>
      </c>
      <c r="C424">
        <v>23</v>
      </c>
      <c r="D424" s="1">
        <v>375</v>
      </c>
      <c r="E424" s="10">
        <v>44981</v>
      </c>
      <c r="F424" s="11" t="s">
        <v>21</v>
      </c>
      <c r="G424" s="12">
        <v>-1650.86</v>
      </c>
      <c r="H424">
        <f t="shared" si="4"/>
        <v>1275.86</v>
      </c>
    </row>
    <row r="425" spans="1:8">
      <c r="A425">
        <v>2023</v>
      </c>
      <c r="B425">
        <v>2</v>
      </c>
      <c r="C425">
        <v>24</v>
      </c>
      <c r="D425" s="1">
        <v>705</v>
      </c>
      <c r="E425" s="10">
        <v>44982</v>
      </c>
      <c r="F425" s="11" t="s">
        <v>21</v>
      </c>
      <c r="G425" s="12">
        <v>-2004.31</v>
      </c>
      <c r="H425">
        <f t="shared" si="4"/>
        <v>1299.31</v>
      </c>
    </row>
    <row r="426" spans="1:8">
      <c r="A426">
        <v>2023</v>
      </c>
      <c r="B426">
        <v>2</v>
      </c>
      <c r="C426">
        <v>25</v>
      </c>
      <c r="D426" s="1">
        <v>1770</v>
      </c>
      <c r="E426" s="10">
        <v>44983</v>
      </c>
      <c r="F426" s="11" t="s">
        <v>21</v>
      </c>
      <c r="G426" s="12">
        <v>-495.69</v>
      </c>
      <c r="H426">
        <f t="shared" si="4"/>
        <v>-1274.31</v>
      </c>
    </row>
    <row r="427" spans="1:8">
      <c r="A427">
        <v>2023</v>
      </c>
      <c r="B427">
        <v>2</v>
      </c>
      <c r="C427">
        <v>26</v>
      </c>
      <c r="D427" s="1">
        <v>120</v>
      </c>
      <c r="E427" s="10">
        <v>44984</v>
      </c>
      <c r="F427" s="11" t="s">
        <v>21</v>
      </c>
      <c r="G427" s="12">
        <v>-422.41</v>
      </c>
      <c r="H427">
        <f t="shared" si="4"/>
        <v>302.41</v>
      </c>
    </row>
    <row r="428" spans="1:8">
      <c r="A428">
        <v>2023</v>
      </c>
      <c r="B428">
        <v>2</v>
      </c>
      <c r="C428">
        <v>27</v>
      </c>
      <c r="D428" s="1">
        <v>270</v>
      </c>
      <c r="E428" s="10">
        <v>44985</v>
      </c>
      <c r="F428" s="11" t="s">
        <v>21</v>
      </c>
      <c r="G428" s="12">
        <v>-1038.79</v>
      </c>
      <c r="H428">
        <f t="shared" si="4"/>
        <v>768.79</v>
      </c>
    </row>
    <row r="429" spans="1:7">
      <c r="A429">
        <v>2023</v>
      </c>
      <c r="B429">
        <v>2</v>
      </c>
      <c r="C429">
        <v>28</v>
      </c>
      <c r="D429" s="1">
        <v>720</v>
      </c>
      <c r="E429" s="10">
        <v>44958</v>
      </c>
      <c r="F429" s="11" t="s">
        <v>21</v>
      </c>
      <c r="G429" s="12">
        <v>-1939.66</v>
      </c>
    </row>
    <row r="430" spans="1:7">
      <c r="A430">
        <v>2023</v>
      </c>
      <c r="B430">
        <v>3</v>
      </c>
      <c r="C430">
        <v>1</v>
      </c>
      <c r="D430" s="1">
        <v>750</v>
      </c>
      <c r="E430" s="10">
        <v>44959</v>
      </c>
      <c r="F430" s="11" t="s">
        <v>21</v>
      </c>
      <c r="G430" s="12">
        <v>-271.55</v>
      </c>
    </row>
    <row r="431" spans="1:7">
      <c r="A431">
        <v>2023</v>
      </c>
      <c r="B431">
        <v>3</v>
      </c>
      <c r="C431">
        <v>2</v>
      </c>
      <c r="D431" s="1">
        <v>810</v>
      </c>
      <c r="E431" s="10">
        <v>44960</v>
      </c>
      <c r="F431" s="11" t="s">
        <v>21</v>
      </c>
      <c r="G431" s="12">
        <v>-1750</v>
      </c>
    </row>
    <row r="432" spans="1:7">
      <c r="A432">
        <v>2023</v>
      </c>
      <c r="B432">
        <v>3</v>
      </c>
      <c r="C432">
        <v>3</v>
      </c>
      <c r="D432" s="1">
        <v>1995</v>
      </c>
      <c r="E432" s="10">
        <v>44961</v>
      </c>
      <c r="F432" s="11" t="s">
        <v>21</v>
      </c>
      <c r="G432" s="12">
        <v>-1875</v>
      </c>
    </row>
    <row r="433" spans="1:7">
      <c r="A433">
        <v>2023</v>
      </c>
      <c r="B433">
        <v>3</v>
      </c>
      <c r="C433">
        <v>4</v>
      </c>
      <c r="D433" s="1">
        <v>1470</v>
      </c>
      <c r="E433" s="10">
        <v>44962</v>
      </c>
      <c r="F433" s="11" t="s">
        <v>21</v>
      </c>
      <c r="G433" s="12">
        <v>-1452.59</v>
      </c>
    </row>
    <row r="434" spans="1:7">
      <c r="A434">
        <v>2023</v>
      </c>
      <c r="B434">
        <v>3</v>
      </c>
      <c r="C434">
        <v>5</v>
      </c>
      <c r="D434" s="1">
        <v>780</v>
      </c>
      <c r="E434" s="10">
        <v>44963</v>
      </c>
      <c r="F434" s="11" t="s">
        <v>21</v>
      </c>
      <c r="G434" s="12">
        <v>-1370.69</v>
      </c>
    </row>
    <row r="435" spans="1:7">
      <c r="A435">
        <v>2023</v>
      </c>
      <c r="B435">
        <v>3</v>
      </c>
      <c r="C435">
        <v>6</v>
      </c>
      <c r="D435" s="1">
        <v>300</v>
      </c>
      <c r="E435" s="10">
        <v>44964</v>
      </c>
      <c r="F435" s="11" t="s">
        <v>21</v>
      </c>
      <c r="G435" s="12">
        <v>-1215.52</v>
      </c>
    </row>
    <row r="436" spans="1:7">
      <c r="A436">
        <v>2023</v>
      </c>
      <c r="B436">
        <v>3</v>
      </c>
      <c r="C436">
        <v>7</v>
      </c>
      <c r="D436" s="1">
        <v>870</v>
      </c>
      <c r="E436" s="10">
        <v>44965</v>
      </c>
      <c r="F436" s="11" t="s">
        <v>21</v>
      </c>
      <c r="G436" s="12">
        <v>-1448.28</v>
      </c>
    </row>
    <row r="437" spans="1:7">
      <c r="A437">
        <v>2023</v>
      </c>
      <c r="B437">
        <v>3</v>
      </c>
      <c r="C437">
        <v>8</v>
      </c>
      <c r="D437" s="1">
        <v>3000</v>
      </c>
      <c r="E437" s="10">
        <v>44966</v>
      </c>
      <c r="F437" s="11" t="s">
        <v>21</v>
      </c>
      <c r="G437" s="12">
        <v>-1991.38</v>
      </c>
    </row>
    <row r="438" spans="1:7">
      <c r="A438">
        <v>2023</v>
      </c>
      <c r="B438">
        <v>3</v>
      </c>
      <c r="C438">
        <v>9</v>
      </c>
      <c r="D438" s="1">
        <v>345</v>
      </c>
      <c r="E438" s="10">
        <v>44967</v>
      </c>
      <c r="F438" s="11" t="s">
        <v>21</v>
      </c>
      <c r="G438" s="12">
        <v>-465.52</v>
      </c>
    </row>
    <row r="439" spans="1:7">
      <c r="A439">
        <v>2023</v>
      </c>
      <c r="B439">
        <v>3</v>
      </c>
      <c r="C439">
        <v>10</v>
      </c>
      <c r="D439" s="1">
        <v>645</v>
      </c>
      <c r="E439" s="10">
        <v>44968</v>
      </c>
      <c r="F439" s="11" t="s">
        <v>21</v>
      </c>
      <c r="G439" s="12">
        <v>-1038.79</v>
      </c>
    </row>
    <row r="440" spans="1:7">
      <c r="A440">
        <v>2023</v>
      </c>
      <c r="B440">
        <v>3</v>
      </c>
      <c r="C440">
        <v>11</v>
      </c>
      <c r="D440" s="1">
        <v>405</v>
      </c>
      <c r="E440" s="10">
        <v>44969</v>
      </c>
      <c r="F440" s="11" t="s">
        <v>21</v>
      </c>
      <c r="G440" s="12">
        <v>-1090.52</v>
      </c>
    </row>
    <row r="441" spans="1:7">
      <c r="A441">
        <v>2023</v>
      </c>
      <c r="B441">
        <v>3</v>
      </c>
      <c r="C441">
        <v>12</v>
      </c>
      <c r="D441" s="1">
        <v>630</v>
      </c>
      <c r="E441" s="10">
        <v>44970</v>
      </c>
      <c r="F441" s="11" t="s">
        <v>21</v>
      </c>
      <c r="G441" s="12">
        <v>-737.07</v>
      </c>
    </row>
    <row r="442" spans="1:7">
      <c r="A442">
        <v>2023</v>
      </c>
      <c r="B442">
        <v>3</v>
      </c>
      <c r="C442">
        <v>13</v>
      </c>
      <c r="D442" s="1">
        <v>525</v>
      </c>
      <c r="E442" s="10">
        <v>44971</v>
      </c>
      <c r="F442" s="11" t="s">
        <v>21</v>
      </c>
      <c r="G442" s="12">
        <v>-443.97</v>
      </c>
    </row>
    <row r="443" spans="1:7">
      <c r="A443">
        <v>2023</v>
      </c>
      <c r="B443">
        <v>3</v>
      </c>
      <c r="C443">
        <v>14</v>
      </c>
      <c r="D443" s="1">
        <v>330</v>
      </c>
      <c r="E443" s="10">
        <v>44972</v>
      </c>
      <c r="F443" s="11" t="s">
        <v>21</v>
      </c>
      <c r="G443" s="12">
        <v>-2741.38</v>
      </c>
    </row>
    <row r="444" spans="1:7">
      <c r="A444">
        <v>2023</v>
      </c>
      <c r="B444">
        <v>3</v>
      </c>
      <c r="C444">
        <v>15</v>
      </c>
      <c r="D444" s="1">
        <v>1065</v>
      </c>
      <c r="E444" s="10">
        <v>44973</v>
      </c>
      <c r="F444" s="11" t="s">
        <v>21</v>
      </c>
      <c r="G444" s="12">
        <v>-581.9</v>
      </c>
    </row>
    <row r="445" spans="1:7">
      <c r="A445">
        <v>2023</v>
      </c>
      <c r="B445">
        <v>3</v>
      </c>
      <c r="C445">
        <v>16</v>
      </c>
      <c r="D445" s="1">
        <v>585</v>
      </c>
      <c r="E445" s="10">
        <v>44974</v>
      </c>
      <c r="F445" s="11" t="s">
        <v>21</v>
      </c>
      <c r="G445" s="12">
        <v>-620.69</v>
      </c>
    </row>
    <row r="446" spans="1:7">
      <c r="A446">
        <v>2023</v>
      </c>
      <c r="B446">
        <v>3</v>
      </c>
      <c r="C446">
        <v>17</v>
      </c>
      <c r="D446" s="1">
        <v>495</v>
      </c>
      <c r="E446" s="10">
        <v>44975</v>
      </c>
      <c r="F446" s="11" t="s">
        <v>21</v>
      </c>
      <c r="G446" s="12">
        <v>-1577.59</v>
      </c>
    </row>
    <row r="447" spans="1:7">
      <c r="A447">
        <v>2023</v>
      </c>
      <c r="B447">
        <v>3</v>
      </c>
      <c r="C447">
        <v>18</v>
      </c>
      <c r="D447" s="1">
        <v>975</v>
      </c>
      <c r="E447" s="10">
        <v>44976</v>
      </c>
      <c r="F447" s="11" t="s">
        <v>21</v>
      </c>
      <c r="G447" s="12">
        <v>-1862.07</v>
      </c>
    </row>
    <row r="448" spans="1:7">
      <c r="A448">
        <v>2023</v>
      </c>
      <c r="B448">
        <v>3</v>
      </c>
      <c r="C448">
        <v>19</v>
      </c>
      <c r="D448" s="1">
        <v>1005</v>
      </c>
      <c r="E448" s="10">
        <v>44977</v>
      </c>
      <c r="F448" s="11" t="s">
        <v>21</v>
      </c>
      <c r="G448" s="12">
        <v>-1137.93</v>
      </c>
    </row>
    <row r="449" spans="1:7">
      <c r="A449">
        <v>2023</v>
      </c>
      <c r="B449">
        <v>3</v>
      </c>
      <c r="C449">
        <v>20</v>
      </c>
      <c r="D449" s="1">
        <v>855</v>
      </c>
      <c r="E449" s="10">
        <v>44978</v>
      </c>
      <c r="F449" s="11" t="s">
        <v>21</v>
      </c>
      <c r="G449" s="12">
        <v>-478.45</v>
      </c>
    </row>
    <row r="450" spans="1:7">
      <c r="A450">
        <v>2023</v>
      </c>
      <c r="B450">
        <v>3</v>
      </c>
      <c r="C450">
        <v>21</v>
      </c>
      <c r="D450" s="1">
        <v>465</v>
      </c>
      <c r="E450" s="10">
        <v>44980</v>
      </c>
      <c r="F450" s="11" t="s">
        <v>21</v>
      </c>
      <c r="G450" s="12">
        <v>-504.31</v>
      </c>
    </row>
    <row r="451" spans="1:7">
      <c r="A451">
        <v>2023</v>
      </c>
      <c r="B451">
        <v>3</v>
      </c>
      <c r="C451">
        <v>22</v>
      </c>
      <c r="D451" s="1">
        <v>720</v>
      </c>
      <c r="E451" s="10">
        <v>44981</v>
      </c>
      <c r="F451" s="11" t="s">
        <v>21</v>
      </c>
      <c r="G451" s="12">
        <v>-1650.86</v>
      </c>
    </row>
    <row r="452" spans="1:7">
      <c r="A452">
        <v>2023</v>
      </c>
      <c r="B452">
        <v>3</v>
      </c>
      <c r="C452">
        <v>23</v>
      </c>
      <c r="D452" s="1">
        <v>2190</v>
      </c>
      <c r="E452" s="10">
        <v>44982</v>
      </c>
      <c r="F452" s="11" t="s">
        <v>21</v>
      </c>
      <c r="G452" s="12">
        <v>-2004.31</v>
      </c>
    </row>
    <row r="453" spans="1:7">
      <c r="A453">
        <v>2023</v>
      </c>
      <c r="B453">
        <v>3</v>
      </c>
      <c r="C453">
        <v>24</v>
      </c>
      <c r="D453" s="1">
        <v>825</v>
      </c>
      <c r="E453" s="10">
        <v>44983</v>
      </c>
      <c r="F453" s="11" t="s">
        <v>21</v>
      </c>
      <c r="G453" s="12">
        <v>-495.69</v>
      </c>
    </row>
    <row r="454" spans="1:7">
      <c r="A454">
        <v>2023</v>
      </c>
      <c r="B454">
        <v>3</v>
      </c>
      <c r="C454">
        <v>25</v>
      </c>
      <c r="D454" s="1">
        <v>3345</v>
      </c>
      <c r="E454" s="10">
        <v>44984</v>
      </c>
      <c r="F454" s="11" t="s">
        <v>21</v>
      </c>
      <c r="G454" s="12">
        <v>-422.41</v>
      </c>
    </row>
    <row r="455" spans="1:7">
      <c r="A455">
        <v>2023</v>
      </c>
      <c r="B455">
        <v>3</v>
      </c>
      <c r="C455">
        <v>26</v>
      </c>
      <c r="D455" s="1">
        <v>390</v>
      </c>
      <c r="E455" s="10">
        <v>44985</v>
      </c>
      <c r="F455" s="11" t="s">
        <v>21</v>
      </c>
      <c r="G455" s="12">
        <v>-1038.79</v>
      </c>
    </row>
    <row r="456" spans="1:7">
      <c r="A456">
        <v>2023</v>
      </c>
      <c r="B456">
        <v>3</v>
      </c>
      <c r="C456">
        <v>27</v>
      </c>
      <c r="D456" s="1">
        <v>480</v>
      </c>
      <c r="E456" s="10">
        <v>44986</v>
      </c>
      <c r="F456" s="11" t="s">
        <v>21</v>
      </c>
      <c r="G456" s="12">
        <v>-1193.97</v>
      </c>
    </row>
    <row r="457" spans="1:7">
      <c r="A457">
        <v>2023</v>
      </c>
      <c r="B457">
        <v>3</v>
      </c>
      <c r="C457">
        <v>28</v>
      </c>
      <c r="D457" s="1">
        <v>615</v>
      </c>
      <c r="E457" s="10">
        <v>44987</v>
      </c>
      <c r="F457" s="11" t="s">
        <v>21</v>
      </c>
      <c r="G457" s="12">
        <v>-879.31</v>
      </c>
    </row>
    <row r="458" spans="1:7">
      <c r="A458">
        <v>2023</v>
      </c>
      <c r="B458">
        <v>3</v>
      </c>
      <c r="C458">
        <v>29</v>
      </c>
      <c r="D458" s="1">
        <v>1665</v>
      </c>
      <c r="E458" s="10">
        <v>44988</v>
      </c>
      <c r="F458" s="11" t="s">
        <v>21</v>
      </c>
      <c r="G458" s="12">
        <v>-1306.03</v>
      </c>
    </row>
    <row r="459" spans="1:7">
      <c r="A459">
        <v>2023</v>
      </c>
      <c r="B459">
        <v>3</v>
      </c>
      <c r="C459">
        <v>30</v>
      </c>
      <c r="D459" s="1">
        <v>1665</v>
      </c>
      <c r="E459" s="10">
        <v>44989</v>
      </c>
      <c r="F459" s="11" t="s">
        <v>21</v>
      </c>
      <c r="G459" s="12">
        <v>-1383.62</v>
      </c>
    </row>
    <row r="460" spans="1:7">
      <c r="A460">
        <v>2023</v>
      </c>
      <c r="B460">
        <v>3</v>
      </c>
      <c r="C460">
        <v>31</v>
      </c>
      <c r="D460" s="1">
        <v>945</v>
      </c>
      <c r="E460" s="10">
        <v>44990</v>
      </c>
      <c r="F460" s="11" t="s">
        <v>21</v>
      </c>
      <c r="G460" s="12">
        <v>-905.17</v>
      </c>
    </row>
    <row r="461" spans="1:7">
      <c r="A461">
        <v>2023</v>
      </c>
      <c r="B461">
        <v>4</v>
      </c>
      <c r="C461">
        <v>1</v>
      </c>
      <c r="D461" s="1">
        <v>165</v>
      </c>
      <c r="E461" s="10">
        <v>44991</v>
      </c>
      <c r="F461" s="11" t="s">
        <v>21</v>
      </c>
      <c r="G461" s="12">
        <v>-788.79</v>
      </c>
    </row>
    <row r="462" spans="1:7">
      <c r="A462">
        <v>2023</v>
      </c>
      <c r="B462">
        <v>4</v>
      </c>
      <c r="C462">
        <v>2</v>
      </c>
      <c r="D462" s="1">
        <v>225</v>
      </c>
      <c r="E462" s="10">
        <v>44992</v>
      </c>
      <c r="F462" s="11" t="s">
        <v>21</v>
      </c>
      <c r="G462" s="12">
        <v>-1034.48</v>
      </c>
    </row>
    <row r="463" spans="1:7">
      <c r="A463">
        <v>2023</v>
      </c>
      <c r="B463">
        <v>4</v>
      </c>
      <c r="C463">
        <v>3</v>
      </c>
      <c r="D463" s="1">
        <v>480</v>
      </c>
      <c r="E463" s="10">
        <v>44993</v>
      </c>
      <c r="F463" s="11" t="s">
        <v>21</v>
      </c>
      <c r="G463" s="12">
        <v>-2689.66</v>
      </c>
    </row>
    <row r="464" spans="1:7">
      <c r="A464">
        <v>2023</v>
      </c>
      <c r="B464">
        <v>4</v>
      </c>
      <c r="C464">
        <v>4</v>
      </c>
      <c r="D464" s="1">
        <v>225</v>
      </c>
      <c r="E464" s="10">
        <v>44994</v>
      </c>
      <c r="F464" s="11" t="s">
        <v>21</v>
      </c>
      <c r="G464" s="12">
        <v>-702.59</v>
      </c>
    </row>
    <row r="465" spans="1:7">
      <c r="A465">
        <v>2023</v>
      </c>
      <c r="B465">
        <v>4</v>
      </c>
      <c r="C465">
        <v>5</v>
      </c>
      <c r="D465" s="1">
        <v>495</v>
      </c>
      <c r="E465" s="10">
        <v>44995</v>
      </c>
      <c r="F465" s="11" t="s">
        <v>21</v>
      </c>
      <c r="G465" s="12">
        <v>-375</v>
      </c>
    </row>
    <row r="466" spans="1:7">
      <c r="A466">
        <v>2023</v>
      </c>
      <c r="B466">
        <v>4</v>
      </c>
      <c r="C466">
        <v>6</v>
      </c>
      <c r="D466" s="1">
        <v>135</v>
      </c>
      <c r="E466" s="10">
        <v>44996</v>
      </c>
      <c r="F466" s="11" t="s">
        <v>21</v>
      </c>
      <c r="G466" s="12">
        <v>-2288.79</v>
      </c>
    </row>
    <row r="467" spans="1:7">
      <c r="A467">
        <v>2023</v>
      </c>
      <c r="B467">
        <v>4</v>
      </c>
      <c r="C467">
        <v>7</v>
      </c>
      <c r="D467" s="1">
        <v>105</v>
      </c>
      <c r="E467" s="10">
        <v>44997</v>
      </c>
      <c r="F467" s="11" t="s">
        <v>21</v>
      </c>
      <c r="G467" s="12">
        <v>-530.17</v>
      </c>
    </row>
    <row r="468" spans="1:7">
      <c r="A468">
        <v>2023</v>
      </c>
      <c r="B468">
        <v>4</v>
      </c>
      <c r="C468">
        <v>8</v>
      </c>
      <c r="D468" s="1">
        <v>60</v>
      </c>
      <c r="E468" s="10">
        <v>44998</v>
      </c>
      <c r="F468" s="11" t="s">
        <v>21</v>
      </c>
      <c r="G468" s="12">
        <v>-1250</v>
      </c>
    </row>
    <row r="469" spans="1:7">
      <c r="A469">
        <v>2023</v>
      </c>
      <c r="B469">
        <v>4</v>
      </c>
      <c r="C469">
        <v>9</v>
      </c>
      <c r="D469" s="1">
        <v>660</v>
      </c>
      <c r="E469" s="10">
        <v>44999</v>
      </c>
      <c r="F469" s="11" t="s">
        <v>21</v>
      </c>
      <c r="G469" s="12">
        <v>-1064.66</v>
      </c>
    </row>
    <row r="470" spans="1:7">
      <c r="A470">
        <v>2023</v>
      </c>
      <c r="B470">
        <v>4</v>
      </c>
      <c r="C470">
        <v>10</v>
      </c>
      <c r="D470" s="1">
        <v>420</v>
      </c>
      <c r="E470" s="10">
        <v>45000</v>
      </c>
      <c r="F470" s="11" t="s">
        <v>21</v>
      </c>
      <c r="G470" s="12">
        <v>-1530.17</v>
      </c>
    </row>
    <row r="471" spans="1:7">
      <c r="A471">
        <v>2023</v>
      </c>
      <c r="B471">
        <v>4</v>
      </c>
      <c r="C471">
        <v>11</v>
      </c>
      <c r="D471" s="1">
        <v>540</v>
      </c>
      <c r="E471" s="10">
        <v>45001</v>
      </c>
      <c r="F471" s="11" t="s">
        <v>21</v>
      </c>
      <c r="G471" s="12">
        <v>-732.76</v>
      </c>
    </row>
    <row r="472" spans="1:7">
      <c r="A472">
        <v>2023</v>
      </c>
      <c r="B472">
        <v>4</v>
      </c>
      <c r="C472">
        <v>12</v>
      </c>
      <c r="D472" s="1">
        <v>1995</v>
      </c>
      <c r="E472" s="10">
        <v>45002</v>
      </c>
      <c r="F472" s="11" t="s">
        <v>21</v>
      </c>
      <c r="G472" s="12">
        <v>-1435.34</v>
      </c>
    </row>
    <row r="473" spans="1:7">
      <c r="A473">
        <v>2023</v>
      </c>
      <c r="B473">
        <v>4</v>
      </c>
      <c r="C473">
        <v>13</v>
      </c>
      <c r="D473" s="1">
        <v>360</v>
      </c>
      <c r="E473" s="10">
        <v>45003</v>
      </c>
      <c r="F473" s="11" t="s">
        <v>21</v>
      </c>
      <c r="G473" s="12">
        <v>-1659.48</v>
      </c>
    </row>
    <row r="474" spans="1:7">
      <c r="A474">
        <v>2023</v>
      </c>
      <c r="B474">
        <v>4</v>
      </c>
      <c r="C474">
        <v>14</v>
      </c>
      <c r="D474" s="1">
        <v>480</v>
      </c>
      <c r="E474" s="10">
        <v>45004</v>
      </c>
      <c r="F474" s="11" t="s">
        <v>21</v>
      </c>
      <c r="G474" s="12">
        <v>-1318.97</v>
      </c>
    </row>
    <row r="475" spans="1:7">
      <c r="A475">
        <v>2023</v>
      </c>
      <c r="B475">
        <v>4</v>
      </c>
      <c r="C475">
        <v>15</v>
      </c>
      <c r="D475" s="1">
        <v>450</v>
      </c>
      <c r="E475" s="10">
        <v>45005</v>
      </c>
      <c r="F475" s="11" t="s">
        <v>21</v>
      </c>
      <c r="G475" s="12">
        <v>-1331.9</v>
      </c>
    </row>
    <row r="476" spans="1:7">
      <c r="A476">
        <v>2023</v>
      </c>
      <c r="B476">
        <v>4</v>
      </c>
      <c r="C476">
        <v>16</v>
      </c>
      <c r="D476" s="1">
        <v>0</v>
      </c>
      <c r="E476" s="10">
        <v>45006</v>
      </c>
      <c r="F476" s="11" t="s">
        <v>21</v>
      </c>
      <c r="G476" s="12">
        <v>-288.79</v>
      </c>
    </row>
    <row r="477" spans="1:7">
      <c r="A477">
        <v>2023</v>
      </c>
      <c r="B477">
        <v>4</v>
      </c>
      <c r="C477">
        <v>17</v>
      </c>
      <c r="D477" s="1">
        <v>270</v>
      </c>
      <c r="E477" s="10">
        <v>45007</v>
      </c>
      <c r="F477" s="11" t="s">
        <v>21</v>
      </c>
      <c r="G477" s="12">
        <v>-1068.97</v>
      </c>
    </row>
    <row r="478" spans="1:7">
      <c r="A478">
        <v>2023</v>
      </c>
      <c r="B478">
        <v>4</v>
      </c>
      <c r="C478">
        <v>18</v>
      </c>
      <c r="D478" s="1">
        <v>1440</v>
      </c>
      <c r="E478" s="10">
        <v>45008</v>
      </c>
      <c r="F478" s="11" t="s">
        <v>21</v>
      </c>
      <c r="G478" s="12">
        <v>-2275.86</v>
      </c>
    </row>
    <row r="479" spans="1:7">
      <c r="A479">
        <v>2023</v>
      </c>
      <c r="B479">
        <v>4</v>
      </c>
      <c r="C479">
        <v>19</v>
      </c>
      <c r="D479" s="1">
        <v>3375</v>
      </c>
      <c r="E479" s="10">
        <v>45009</v>
      </c>
      <c r="F479" s="11" t="s">
        <v>21</v>
      </c>
      <c r="G479" s="12">
        <v>-750</v>
      </c>
    </row>
    <row r="480" spans="1:7">
      <c r="A480">
        <v>2023</v>
      </c>
      <c r="B480">
        <v>4</v>
      </c>
      <c r="C480">
        <v>20</v>
      </c>
      <c r="D480" s="1">
        <v>210</v>
      </c>
      <c r="E480" s="10">
        <v>45010</v>
      </c>
      <c r="F480" s="11" t="s">
        <v>21</v>
      </c>
      <c r="G480" s="12">
        <v>-2896.55</v>
      </c>
    </row>
    <row r="481" spans="1:7">
      <c r="A481">
        <v>2023</v>
      </c>
      <c r="B481">
        <v>4</v>
      </c>
      <c r="C481">
        <v>21</v>
      </c>
      <c r="D481" s="1">
        <v>390</v>
      </c>
      <c r="E481" s="10">
        <v>45011</v>
      </c>
      <c r="F481" s="11" t="s">
        <v>21</v>
      </c>
      <c r="G481" s="12">
        <v>-1008.62</v>
      </c>
    </row>
    <row r="482" spans="1:7">
      <c r="A482">
        <v>2023</v>
      </c>
      <c r="B482">
        <v>4</v>
      </c>
      <c r="C482">
        <v>22</v>
      </c>
      <c r="D482" s="1">
        <v>270</v>
      </c>
      <c r="E482" s="10">
        <v>45012</v>
      </c>
      <c r="F482" s="11" t="s">
        <v>21</v>
      </c>
      <c r="G482" s="12">
        <v>-1068.97</v>
      </c>
    </row>
    <row r="483" spans="1:7">
      <c r="A483">
        <v>2023</v>
      </c>
      <c r="B483">
        <v>4</v>
      </c>
      <c r="C483">
        <v>23</v>
      </c>
      <c r="D483" s="1">
        <v>555</v>
      </c>
      <c r="E483" s="10">
        <v>45013</v>
      </c>
      <c r="F483" s="11" t="s">
        <v>21</v>
      </c>
      <c r="G483" s="12">
        <v>-1487.07</v>
      </c>
    </row>
    <row r="484" spans="1:7">
      <c r="A484">
        <v>2023</v>
      </c>
      <c r="B484">
        <v>4</v>
      </c>
      <c r="C484">
        <v>24</v>
      </c>
      <c r="D484" s="1">
        <v>315</v>
      </c>
      <c r="E484" s="10">
        <v>45014</v>
      </c>
      <c r="F484" s="11" t="s">
        <v>21</v>
      </c>
      <c r="G484" s="12">
        <v>-2810.34</v>
      </c>
    </row>
    <row r="485" spans="1:7">
      <c r="A485">
        <v>2023</v>
      </c>
      <c r="B485">
        <v>4</v>
      </c>
      <c r="C485">
        <v>25</v>
      </c>
      <c r="D485" s="1">
        <v>615</v>
      </c>
      <c r="E485" s="10">
        <v>45015</v>
      </c>
      <c r="F485" s="11" t="s">
        <v>21</v>
      </c>
      <c r="G485" s="12">
        <v>-1762.93</v>
      </c>
    </row>
    <row r="486" spans="1:7">
      <c r="A486">
        <v>2023</v>
      </c>
      <c r="B486">
        <v>4</v>
      </c>
      <c r="C486">
        <v>26</v>
      </c>
      <c r="D486" s="1">
        <v>1425</v>
      </c>
      <c r="E486" s="10">
        <v>45016</v>
      </c>
      <c r="F486" s="11" t="s">
        <v>21</v>
      </c>
      <c r="G486" s="12">
        <v>-1573.28</v>
      </c>
    </row>
    <row r="487" spans="1:7">
      <c r="A487">
        <v>2023</v>
      </c>
      <c r="B487">
        <v>4</v>
      </c>
      <c r="C487">
        <v>27</v>
      </c>
      <c r="D487" s="1">
        <v>975</v>
      </c>
      <c r="E487" s="10">
        <v>45017</v>
      </c>
      <c r="F487" s="11" t="s">
        <v>21</v>
      </c>
      <c r="G487" s="12">
        <v>-1590.52</v>
      </c>
    </row>
    <row r="488" spans="1:7">
      <c r="A488">
        <v>2023</v>
      </c>
      <c r="B488">
        <v>4</v>
      </c>
      <c r="C488">
        <v>28</v>
      </c>
      <c r="D488" s="1">
        <v>525</v>
      </c>
      <c r="E488" s="10">
        <v>45018</v>
      </c>
      <c r="F488" s="11" t="s">
        <v>21</v>
      </c>
      <c r="G488" s="12">
        <v>-564.66</v>
      </c>
    </row>
    <row r="489" spans="1:7">
      <c r="A489">
        <v>2023</v>
      </c>
      <c r="B489">
        <v>4</v>
      </c>
      <c r="C489">
        <v>29</v>
      </c>
      <c r="D489" s="1">
        <v>1335</v>
      </c>
      <c r="E489" s="10">
        <v>45019</v>
      </c>
      <c r="F489" s="11" t="s">
        <v>21</v>
      </c>
      <c r="G489" s="12">
        <v>-909.48</v>
      </c>
    </row>
    <row r="490" spans="1:7">
      <c r="A490">
        <v>2023</v>
      </c>
      <c r="B490">
        <v>4</v>
      </c>
      <c r="C490">
        <v>30</v>
      </c>
      <c r="D490" s="1">
        <v>465</v>
      </c>
      <c r="E490" s="10">
        <v>45020</v>
      </c>
      <c r="F490" s="11" t="s">
        <v>21</v>
      </c>
      <c r="G490" s="12">
        <v>-1905.17</v>
      </c>
    </row>
    <row r="491" spans="1:7">
      <c r="A491">
        <v>2023</v>
      </c>
      <c r="B491">
        <v>5</v>
      </c>
      <c r="C491">
        <v>1</v>
      </c>
      <c r="D491" s="1">
        <v>315</v>
      </c>
      <c r="E491" s="10">
        <v>45021</v>
      </c>
      <c r="F491" s="11" t="s">
        <v>21</v>
      </c>
      <c r="G491" s="12">
        <v>-931.03</v>
      </c>
    </row>
    <row r="492" spans="1:7">
      <c r="A492">
        <v>2023</v>
      </c>
      <c r="B492">
        <v>5</v>
      </c>
      <c r="C492">
        <v>2</v>
      </c>
      <c r="D492" s="1">
        <v>150</v>
      </c>
      <c r="E492" s="10">
        <v>45022</v>
      </c>
      <c r="F492" s="11" t="s">
        <v>21</v>
      </c>
      <c r="G492" s="12">
        <v>-594.83</v>
      </c>
    </row>
    <row r="493" spans="1:7">
      <c r="A493">
        <v>2023</v>
      </c>
      <c r="B493">
        <v>5</v>
      </c>
      <c r="C493">
        <v>3</v>
      </c>
      <c r="D493" s="1">
        <v>75</v>
      </c>
      <c r="E493" s="10">
        <v>45023</v>
      </c>
      <c r="F493" s="11" t="s">
        <v>21</v>
      </c>
      <c r="G493" s="12">
        <v>-129.31</v>
      </c>
    </row>
    <row r="494" spans="1:7">
      <c r="A494">
        <v>2023</v>
      </c>
      <c r="B494">
        <v>5</v>
      </c>
      <c r="C494">
        <v>4</v>
      </c>
      <c r="D494" s="1">
        <v>0</v>
      </c>
      <c r="E494" s="10">
        <v>45024</v>
      </c>
      <c r="F494" s="11" t="s">
        <v>21</v>
      </c>
      <c r="G494" s="12">
        <v>-284.48</v>
      </c>
    </row>
    <row r="495" spans="1:7">
      <c r="A495">
        <v>2023</v>
      </c>
      <c r="B495">
        <v>5</v>
      </c>
      <c r="C495">
        <v>5</v>
      </c>
      <c r="D495" s="1">
        <v>210</v>
      </c>
      <c r="E495" s="10">
        <v>45025</v>
      </c>
      <c r="F495" s="11" t="s">
        <v>21</v>
      </c>
      <c r="G495" s="12">
        <v>-530.17</v>
      </c>
    </row>
    <row r="496" spans="1:7">
      <c r="A496">
        <v>2023</v>
      </c>
      <c r="B496">
        <v>5</v>
      </c>
      <c r="C496">
        <v>6</v>
      </c>
      <c r="D496" s="1">
        <v>225</v>
      </c>
      <c r="E496" s="10">
        <v>45026</v>
      </c>
      <c r="F496" s="11" t="s">
        <v>21</v>
      </c>
      <c r="G496" s="12">
        <v>-1245.69</v>
      </c>
    </row>
    <row r="497" spans="1:7">
      <c r="A497">
        <v>2023</v>
      </c>
      <c r="B497">
        <v>5</v>
      </c>
      <c r="C497">
        <v>7</v>
      </c>
      <c r="D497" s="1">
        <v>465</v>
      </c>
      <c r="E497" s="10">
        <v>45027</v>
      </c>
      <c r="F497" s="11" t="s">
        <v>21</v>
      </c>
      <c r="G497" s="12">
        <v>-620.69</v>
      </c>
    </row>
    <row r="498" spans="1:7">
      <c r="A498">
        <v>2023</v>
      </c>
      <c r="B498">
        <v>5</v>
      </c>
      <c r="C498">
        <v>8</v>
      </c>
      <c r="D498" s="1">
        <v>120</v>
      </c>
      <c r="E498" s="10">
        <v>45028</v>
      </c>
      <c r="F498" s="11" t="s">
        <v>21</v>
      </c>
      <c r="G498" s="12">
        <v>-2094.83</v>
      </c>
    </row>
    <row r="499" spans="1:7">
      <c r="A499">
        <v>2023</v>
      </c>
      <c r="B499">
        <v>5</v>
      </c>
      <c r="C499">
        <v>9</v>
      </c>
      <c r="D499" s="1">
        <v>150</v>
      </c>
      <c r="E499" s="10">
        <v>45029</v>
      </c>
      <c r="F499" s="11" t="s">
        <v>21</v>
      </c>
      <c r="G499" s="12">
        <v>-1081.9</v>
      </c>
    </row>
    <row r="500" spans="1:7">
      <c r="A500">
        <v>2023</v>
      </c>
      <c r="B500">
        <v>5</v>
      </c>
      <c r="C500">
        <v>10</v>
      </c>
      <c r="D500" s="1">
        <v>30</v>
      </c>
      <c r="E500" s="10">
        <v>45030</v>
      </c>
      <c r="F500" s="11" t="s">
        <v>21</v>
      </c>
      <c r="G500" s="12">
        <v>-491.38</v>
      </c>
    </row>
    <row r="501" spans="1:7">
      <c r="A501">
        <v>2023</v>
      </c>
      <c r="B501">
        <v>5</v>
      </c>
      <c r="C501">
        <v>11</v>
      </c>
      <c r="D501" s="1">
        <v>135</v>
      </c>
      <c r="E501" s="10">
        <v>45031</v>
      </c>
      <c r="F501" s="11" t="s">
        <v>21</v>
      </c>
      <c r="G501" s="12">
        <v>-1737.07</v>
      </c>
    </row>
    <row r="502" spans="1:7">
      <c r="A502">
        <v>2023</v>
      </c>
      <c r="B502">
        <v>5</v>
      </c>
      <c r="C502">
        <v>12</v>
      </c>
      <c r="D502" s="1">
        <v>360</v>
      </c>
      <c r="E502" s="10">
        <v>45032</v>
      </c>
      <c r="F502" s="11" t="s">
        <v>21</v>
      </c>
      <c r="G502" s="12">
        <v>-698.28</v>
      </c>
    </row>
    <row r="503" spans="1:7">
      <c r="A503">
        <v>2023</v>
      </c>
      <c r="B503">
        <v>5</v>
      </c>
      <c r="C503">
        <v>13</v>
      </c>
      <c r="D503" s="1">
        <v>75</v>
      </c>
      <c r="E503" s="10">
        <v>45033</v>
      </c>
      <c r="F503" s="11" t="s">
        <v>21</v>
      </c>
      <c r="G503" s="12">
        <v>-905.17</v>
      </c>
    </row>
    <row r="504" spans="1:7">
      <c r="A504">
        <v>2023</v>
      </c>
      <c r="B504">
        <v>5</v>
      </c>
      <c r="C504">
        <v>14</v>
      </c>
      <c r="D504" s="1">
        <v>0</v>
      </c>
      <c r="E504" s="10">
        <v>45034</v>
      </c>
      <c r="F504" s="11" t="s">
        <v>21</v>
      </c>
      <c r="G504" s="12">
        <v>-1818.97</v>
      </c>
    </row>
    <row r="505" spans="1:7">
      <c r="A505">
        <v>2023</v>
      </c>
      <c r="B505">
        <v>5</v>
      </c>
      <c r="C505">
        <v>15</v>
      </c>
      <c r="D505" s="1">
        <v>90</v>
      </c>
      <c r="E505" s="10">
        <v>45035</v>
      </c>
      <c r="F505" s="11" t="s">
        <v>21</v>
      </c>
      <c r="G505" s="12">
        <v>-3594.83</v>
      </c>
    </row>
    <row r="506" spans="1:7">
      <c r="A506">
        <v>2023</v>
      </c>
      <c r="B506">
        <v>5</v>
      </c>
      <c r="C506">
        <v>16</v>
      </c>
      <c r="D506" s="1">
        <v>90</v>
      </c>
      <c r="E506" s="10">
        <v>45036</v>
      </c>
      <c r="F506" s="11" t="s">
        <v>21</v>
      </c>
      <c r="G506" s="12">
        <v>-323.28</v>
      </c>
    </row>
    <row r="507" spans="1:7">
      <c r="A507">
        <v>2023</v>
      </c>
      <c r="B507">
        <v>5</v>
      </c>
      <c r="C507">
        <v>17</v>
      </c>
      <c r="D507" s="1">
        <v>2310</v>
      </c>
      <c r="E507" s="10">
        <v>45037</v>
      </c>
      <c r="F507" s="11" t="s">
        <v>21</v>
      </c>
      <c r="G507" s="12">
        <v>-439.66</v>
      </c>
    </row>
    <row r="508" spans="1:7">
      <c r="A508">
        <v>2023</v>
      </c>
      <c r="B508">
        <v>5</v>
      </c>
      <c r="C508">
        <v>18</v>
      </c>
      <c r="D508" s="1">
        <v>0</v>
      </c>
      <c r="E508" s="10">
        <v>45038</v>
      </c>
      <c r="F508" s="11" t="s">
        <v>21</v>
      </c>
      <c r="G508" s="12">
        <v>-1344.83</v>
      </c>
    </row>
    <row r="509" spans="1:7">
      <c r="A509">
        <v>2023</v>
      </c>
      <c r="B509">
        <v>5</v>
      </c>
      <c r="C509">
        <v>19</v>
      </c>
      <c r="D509" s="1">
        <v>105</v>
      </c>
      <c r="E509" s="10">
        <v>45039</v>
      </c>
      <c r="F509" s="11" t="s">
        <v>21</v>
      </c>
      <c r="G509" s="12">
        <v>-1094.83</v>
      </c>
    </row>
    <row r="510" spans="1:7">
      <c r="A510">
        <v>2023</v>
      </c>
      <c r="B510">
        <v>5</v>
      </c>
      <c r="C510">
        <v>20</v>
      </c>
      <c r="D510" s="1">
        <v>0</v>
      </c>
      <c r="E510" s="10">
        <v>45040</v>
      </c>
      <c r="F510" s="11" t="s">
        <v>21</v>
      </c>
      <c r="G510" s="12">
        <v>-439.66</v>
      </c>
    </row>
    <row r="511" spans="1:7">
      <c r="A511">
        <v>2023</v>
      </c>
      <c r="B511">
        <v>5</v>
      </c>
      <c r="C511">
        <v>22</v>
      </c>
      <c r="D511" s="1">
        <v>690</v>
      </c>
      <c r="E511" s="10">
        <v>45041</v>
      </c>
      <c r="F511" s="11" t="s">
        <v>21</v>
      </c>
      <c r="G511" s="12">
        <v>-1193.97</v>
      </c>
    </row>
    <row r="512" spans="1:7">
      <c r="A512">
        <v>2023</v>
      </c>
      <c r="B512">
        <v>5</v>
      </c>
      <c r="C512">
        <v>23</v>
      </c>
      <c r="D512" s="1">
        <v>210</v>
      </c>
      <c r="E512" s="10">
        <v>45042</v>
      </c>
      <c r="F512" s="11" t="s">
        <v>21</v>
      </c>
      <c r="G512" s="12">
        <v>-1849.14</v>
      </c>
    </row>
    <row r="513" spans="1:7">
      <c r="A513">
        <v>2023</v>
      </c>
      <c r="B513">
        <v>5</v>
      </c>
      <c r="C513">
        <v>24</v>
      </c>
      <c r="D513" s="1">
        <v>390</v>
      </c>
      <c r="E513" s="10">
        <v>45043</v>
      </c>
      <c r="F513" s="11" t="s">
        <v>21</v>
      </c>
      <c r="G513" s="12">
        <v>-625</v>
      </c>
    </row>
    <row r="514" spans="1:7">
      <c r="A514">
        <v>2023</v>
      </c>
      <c r="B514">
        <v>5</v>
      </c>
      <c r="C514">
        <v>25</v>
      </c>
      <c r="D514" s="1">
        <v>705</v>
      </c>
      <c r="E514" s="10">
        <v>45044</v>
      </c>
      <c r="F514" s="11" t="s">
        <v>21</v>
      </c>
      <c r="G514" s="12">
        <v>-2004.31</v>
      </c>
    </row>
    <row r="515" spans="1:7">
      <c r="A515">
        <v>2023</v>
      </c>
      <c r="B515">
        <v>5</v>
      </c>
      <c r="C515">
        <v>26</v>
      </c>
      <c r="D515" s="1">
        <v>225</v>
      </c>
      <c r="E515" s="10">
        <v>45045</v>
      </c>
      <c r="F515" s="11" t="s">
        <v>21</v>
      </c>
      <c r="G515" s="12">
        <v>-2025.86</v>
      </c>
    </row>
    <row r="516" spans="1:7">
      <c r="A516">
        <v>2023</v>
      </c>
      <c r="B516">
        <v>5</v>
      </c>
      <c r="C516">
        <v>27</v>
      </c>
      <c r="D516" s="1">
        <v>105</v>
      </c>
      <c r="E516" s="10">
        <v>45046</v>
      </c>
      <c r="F516" s="11" t="s">
        <v>21</v>
      </c>
      <c r="G516" s="12">
        <v>-594.83</v>
      </c>
    </row>
    <row r="517" spans="1:7">
      <c r="A517">
        <v>2023</v>
      </c>
      <c r="B517">
        <v>5</v>
      </c>
      <c r="C517">
        <v>28</v>
      </c>
      <c r="D517" s="1">
        <v>75</v>
      </c>
      <c r="E517" s="10">
        <v>45047</v>
      </c>
      <c r="F517" s="11" t="s">
        <v>21</v>
      </c>
      <c r="G517" s="12">
        <v>-1271.55</v>
      </c>
    </row>
    <row r="518" spans="1:7">
      <c r="A518">
        <v>2023</v>
      </c>
      <c r="B518">
        <v>5</v>
      </c>
      <c r="C518">
        <v>29</v>
      </c>
      <c r="D518" s="1">
        <v>1125</v>
      </c>
      <c r="E518" s="10">
        <v>45048</v>
      </c>
      <c r="F518" s="11" t="s">
        <v>21</v>
      </c>
      <c r="G518" s="12">
        <v>-853.45</v>
      </c>
    </row>
    <row r="519" spans="1:7">
      <c r="A519">
        <v>2023</v>
      </c>
      <c r="B519">
        <v>5</v>
      </c>
      <c r="C519">
        <v>30</v>
      </c>
      <c r="D519" s="1">
        <v>420</v>
      </c>
      <c r="E519" s="10">
        <v>45049</v>
      </c>
      <c r="F519" s="11" t="s">
        <v>21</v>
      </c>
      <c r="G519" s="12">
        <v>-2250</v>
      </c>
    </row>
    <row r="520" spans="1:7">
      <c r="A520">
        <v>2023</v>
      </c>
      <c r="B520">
        <v>5</v>
      </c>
      <c r="C520">
        <v>31</v>
      </c>
      <c r="D520" s="1">
        <v>570</v>
      </c>
      <c r="E520" s="10">
        <v>45050</v>
      </c>
      <c r="F520" s="11" t="s">
        <v>21</v>
      </c>
      <c r="G520" s="12">
        <v>-625</v>
      </c>
    </row>
    <row r="521" spans="1:7">
      <c r="A521">
        <v>2023</v>
      </c>
      <c r="B521">
        <v>6</v>
      </c>
      <c r="C521">
        <v>1</v>
      </c>
      <c r="D521" s="1">
        <v>615</v>
      </c>
      <c r="E521" s="10">
        <v>45051</v>
      </c>
      <c r="F521" s="11" t="s">
        <v>21</v>
      </c>
      <c r="G521" s="12">
        <v>-504.31</v>
      </c>
    </row>
    <row r="522" spans="1:7">
      <c r="A522">
        <v>2023</v>
      </c>
      <c r="B522">
        <v>6</v>
      </c>
      <c r="C522">
        <v>2</v>
      </c>
      <c r="D522" s="1">
        <v>435</v>
      </c>
      <c r="E522" s="10">
        <v>45052</v>
      </c>
      <c r="F522" s="11" t="s">
        <v>21</v>
      </c>
      <c r="G522" s="12">
        <v>-1892.24</v>
      </c>
    </row>
    <row r="523" spans="1:7">
      <c r="A523">
        <v>2023</v>
      </c>
      <c r="B523">
        <v>6</v>
      </c>
      <c r="C523">
        <v>3</v>
      </c>
      <c r="D523" s="1">
        <v>270</v>
      </c>
      <c r="E523" s="10">
        <v>45053</v>
      </c>
      <c r="F523" s="11" t="s">
        <v>21</v>
      </c>
      <c r="G523" s="12">
        <v>-375</v>
      </c>
    </row>
    <row r="524" spans="1:7">
      <c r="A524">
        <v>2023</v>
      </c>
      <c r="B524">
        <v>6</v>
      </c>
      <c r="C524">
        <v>4</v>
      </c>
      <c r="D524" s="1">
        <v>1410</v>
      </c>
      <c r="E524" s="10">
        <v>45054</v>
      </c>
      <c r="F524" s="11" t="s">
        <v>21</v>
      </c>
      <c r="G524" s="12">
        <v>-788.79</v>
      </c>
    </row>
    <row r="525" spans="1:7">
      <c r="A525">
        <v>2023</v>
      </c>
      <c r="B525">
        <v>6</v>
      </c>
      <c r="C525">
        <v>5</v>
      </c>
      <c r="D525" s="1">
        <v>630</v>
      </c>
      <c r="E525" s="10">
        <v>45055</v>
      </c>
      <c r="F525" s="11" t="s">
        <v>21</v>
      </c>
      <c r="G525" s="12">
        <v>-715.52</v>
      </c>
    </row>
    <row r="526" spans="1:7">
      <c r="A526">
        <v>2023</v>
      </c>
      <c r="B526">
        <v>6</v>
      </c>
      <c r="C526">
        <v>6</v>
      </c>
      <c r="D526" s="1">
        <v>615</v>
      </c>
      <c r="E526" s="10">
        <v>45056</v>
      </c>
      <c r="F526" s="11" t="s">
        <v>21</v>
      </c>
      <c r="G526" s="12">
        <v>-1698.28</v>
      </c>
    </row>
    <row r="527" spans="1:7">
      <c r="A527">
        <v>2023</v>
      </c>
      <c r="B527">
        <v>6</v>
      </c>
      <c r="C527">
        <v>7</v>
      </c>
      <c r="D527" s="1">
        <v>510</v>
      </c>
      <c r="E527" s="10">
        <v>45057</v>
      </c>
      <c r="F527" s="11" t="s">
        <v>21</v>
      </c>
      <c r="G527" s="12">
        <v>-620.69</v>
      </c>
    </row>
    <row r="528" spans="1:7">
      <c r="A528">
        <v>2023</v>
      </c>
      <c r="B528">
        <v>6</v>
      </c>
      <c r="C528">
        <v>8</v>
      </c>
      <c r="D528" s="1">
        <v>1155</v>
      </c>
      <c r="E528" s="10">
        <v>45058</v>
      </c>
      <c r="F528" s="11" t="s">
        <v>21</v>
      </c>
      <c r="G528" s="12">
        <v>-672.41</v>
      </c>
    </row>
    <row r="529" spans="1:7">
      <c r="A529">
        <v>2023</v>
      </c>
      <c r="B529">
        <v>6</v>
      </c>
      <c r="C529">
        <v>9</v>
      </c>
      <c r="D529" s="1">
        <v>330</v>
      </c>
      <c r="E529" s="10">
        <v>45059</v>
      </c>
      <c r="F529" s="11" t="s">
        <v>21</v>
      </c>
      <c r="G529" s="12">
        <v>-1150.86</v>
      </c>
    </row>
    <row r="530" spans="1:7">
      <c r="A530">
        <v>2023</v>
      </c>
      <c r="B530">
        <v>6</v>
      </c>
      <c r="C530">
        <v>10</v>
      </c>
      <c r="D530" s="1">
        <v>75</v>
      </c>
      <c r="E530" s="10">
        <v>45060</v>
      </c>
      <c r="F530" s="11" t="s">
        <v>21</v>
      </c>
      <c r="G530" s="12">
        <v>-405.17</v>
      </c>
    </row>
    <row r="531" spans="1:7">
      <c r="A531">
        <v>2023</v>
      </c>
      <c r="B531">
        <v>6</v>
      </c>
      <c r="C531">
        <v>11</v>
      </c>
      <c r="D531" s="1">
        <v>405</v>
      </c>
      <c r="E531" s="10">
        <v>45061</v>
      </c>
      <c r="F531" s="11" t="s">
        <v>21</v>
      </c>
      <c r="G531" s="12">
        <v>-612.07</v>
      </c>
    </row>
    <row r="532" spans="1:7">
      <c r="A532">
        <v>2023</v>
      </c>
      <c r="B532">
        <v>6</v>
      </c>
      <c r="C532">
        <v>12</v>
      </c>
      <c r="D532" s="1">
        <v>0</v>
      </c>
      <c r="E532" s="10">
        <v>45062</v>
      </c>
      <c r="F532" s="11" t="s">
        <v>21</v>
      </c>
      <c r="G532" s="12">
        <v>-581.9</v>
      </c>
    </row>
    <row r="533" spans="1:7">
      <c r="A533">
        <v>2023</v>
      </c>
      <c r="B533">
        <v>6</v>
      </c>
      <c r="C533">
        <v>13</v>
      </c>
      <c r="D533" s="1">
        <v>465</v>
      </c>
      <c r="E533" s="10">
        <v>45063</v>
      </c>
      <c r="F533" s="11" t="s">
        <v>21</v>
      </c>
      <c r="G533" s="12">
        <v>-2853.45</v>
      </c>
    </row>
    <row r="534" spans="1:7">
      <c r="A534">
        <v>2023</v>
      </c>
      <c r="B534">
        <v>6</v>
      </c>
      <c r="C534">
        <v>14</v>
      </c>
      <c r="D534" s="1">
        <v>195</v>
      </c>
      <c r="E534" s="10">
        <v>45064</v>
      </c>
      <c r="F534" s="11" t="s">
        <v>21</v>
      </c>
      <c r="G534" s="12">
        <v>-943.97</v>
      </c>
    </row>
    <row r="535" spans="1:7">
      <c r="A535">
        <v>2023</v>
      </c>
      <c r="B535">
        <v>6</v>
      </c>
      <c r="C535">
        <v>15</v>
      </c>
      <c r="D535" s="1">
        <v>155</v>
      </c>
      <c r="E535" s="10">
        <v>45065</v>
      </c>
      <c r="F535" s="11" t="s">
        <v>21</v>
      </c>
      <c r="G535" s="12">
        <v>-310.34</v>
      </c>
    </row>
    <row r="536" spans="1:7">
      <c r="A536">
        <v>2023</v>
      </c>
      <c r="B536">
        <v>6</v>
      </c>
      <c r="C536">
        <v>16</v>
      </c>
      <c r="D536" s="1">
        <v>750</v>
      </c>
      <c r="E536" s="10">
        <v>45066</v>
      </c>
      <c r="F536" s="11" t="s">
        <v>21</v>
      </c>
      <c r="G536" s="12">
        <v>-853.45</v>
      </c>
    </row>
    <row r="537" spans="1:7">
      <c r="A537">
        <v>2023</v>
      </c>
      <c r="B537">
        <v>6</v>
      </c>
      <c r="C537">
        <v>17</v>
      </c>
      <c r="D537" s="1">
        <v>60</v>
      </c>
      <c r="E537" s="10">
        <v>45067</v>
      </c>
      <c r="F537" s="11" t="s">
        <v>21</v>
      </c>
      <c r="G537" s="12">
        <v>-1146.55</v>
      </c>
    </row>
    <row r="538" spans="1:7">
      <c r="A538">
        <v>2023</v>
      </c>
      <c r="B538">
        <v>6</v>
      </c>
      <c r="C538">
        <v>18</v>
      </c>
      <c r="D538" s="1">
        <v>150</v>
      </c>
      <c r="E538" s="10">
        <v>45068</v>
      </c>
      <c r="F538" s="11" t="s">
        <v>21</v>
      </c>
      <c r="G538" s="12">
        <v>-788.79</v>
      </c>
    </row>
    <row r="539" spans="1:7">
      <c r="A539">
        <v>2023</v>
      </c>
      <c r="B539">
        <v>6</v>
      </c>
      <c r="C539">
        <v>19</v>
      </c>
      <c r="D539" s="1">
        <v>255</v>
      </c>
      <c r="E539" s="10">
        <v>45069</v>
      </c>
      <c r="F539" s="11" t="s">
        <v>21</v>
      </c>
      <c r="G539" s="12">
        <v>-711.21</v>
      </c>
    </row>
    <row r="540" spans="1:7">
      <c r="A540">
        <v>2023</v>
      </c>
      <c r="B540">
        <v>6</v>
      </c>
      <c r="C540">
        <v>20</v>
      </c>
      <c r="D540" s="1">
        <v>0</v>
      </c>
      <c r="E540" s="10">
        <v>45070</v>
      </c>
      <c r="F540" s="11" t="s">
        <v>21</v>
      </c>
      <c r="G540" s="12">
        <v>-543.1</v>
      </c>
    </row>
    <row r="541" spans="1:7">
      <c r="A541">
        <v>2023</v>
      </c>
      <c r="B541">
        <v>6</v>
      </c>
      <c r="C541">
        <v>21</v>
      </c>
      <c r="D541" s="1">
        <v>90</v>
      </c>
      <c r="E541" s="10">
        <v>45071</v>
      </c>
      <c r="F541" s="11" t="s">
        <v>21</v>
      </c>
      <c r="G541" s="12">
        <v>-775.86</v>
      </c>
    </row>
    <row r="542" spans="1:7">
      <c r="A542">
        <v>2023</v>
      </c>
      <c r="B542">
        <v>6</v>
      </c>
      <c r="C542">
        <v>22</v>
      </c>
      <c r="D542" s="1">
        <v>150</v>
      </c>
      <c r="E542" s="10">
        <v>45072</v>
      </c>
      <c r="F542" s="11" t="s">
        <v>21</v>
      </c>
      <c r="G542" s="12">
        <v>-840.52</v>
      </c>
    </row>
    <row r="543" spans="1:7">
      <c r="A543">
        <v>2023</v>
      </c>
      <c r="B543">
        <v>6</v>
      </c>
      <c r="C543">
        <v>23</v>
      </c>
      <c r="D543" s="1">
        <v>360</v>
      </c>
      <c r="E543" s="10">
        <v>45073</v>
      </c>
      <c r="F543" s="11" t="s">
        <v>21</v>
      </c>
      <c r="G543" s="12">
        <v>-840.52</v>
      </c>
    </row>
    <row r="544" spans="1:7">
      <c r="A544">
        <v>2023</v>
      </c>
      <c r="B544">
        <v>6</v>
      </c>
      <c r="C544">
        <v>24</v>
      </c>
      <c r="D544" s="1">
        <v>255</v>
      </c>
      <c r="E544" s="10">
        <v>45074</v>
      </c>
      <c r="F544" s="11" t="s">
        <v>21</v>
      </c>
      <c r="G544" s="12">
        <v>-1150.86</v>
      </c>
    </row>
    <row r="545" spans="1:7">
      <c r="A545">
        <v>2023</v>
      </c>
      <c r="B545">
        <v>6</v>
      </c>
      <c r="C545">
        <v>25</v>
      </c>
      <c r="D545" s="1">
        <v>375</v>
      </c>
      <c r="E545" s="10">
        <v>45075</v>
      </c>
      <c r="F545" s="11" t="s">
        <v>21</v>
      </c>
      <c r="G545" s="12">
        <v>-1448.28</v>
      </c>
    </row>
    <row r="546" spans="1:7">
      <c r="A546">
        <v>2023</v>
      </c>
      <c r="B546">
        <v>6</v>
      </c>
      <c r="C546">
        <v>26</v>
      </c>
      <c r="D546" s="1">
        <v>435</v>
      </c>
      <c r="E546" s="10">
        <v>45076</v>
      </c>
      <c r="F546" s="11" t="s">
        <v>21</v>
      </c>
      <c r="G546" s="12">
        <v>-620.69</v>
      </c>
    </row>
    <row r="547" spans="1:7">
      <c r="A547">
        <v>2023</v>
      </c>
      <c r="B547">
        <v>6</v>
      </c>
      <c r="C547">
        <v>27</v>
      </c>
      <c r="D547" s="1">
        <v>60</v>
      </c>
      <c r="E547" s="10">
        <v>45077</v>
      </c>
      <c r="F547" s="11" t="s">
        <v>21</v>
      </c>
      <c r="G547" s="12">
        <v>-2133.62</v>
      </c>
    </row>
    <row r="548" spans="1:7">
      <c r="A548">
        <v>2023</v>
      </c>
      <c r="B548">
        <v>6</v>
      </c>
      <c r="C548">
        <v>28</v>
      </c>
      <c r="D548" s="1">
        <v>0</v>
      </c>
      <c r="E548" s="10">
        <v>45078</v>
      </c>
      <c r="F548" s="11" t="s">
        <v>21</v>
      </c>
      <c r="G548" s="12">
        <v>-1370.69</v>
      </c>
    </row>
    <row r="549" spans="1:7">
      <c r="A549">
        <v>2023</v>
      </c>
      <c r="B549">
        <v>6</v>
      </c>
      <c r="C549">
        <v>29</v>
      </c>
      <c r="D549" s="1">
        <v>45</v>
      </c>
      <c r="E549" s="10">
        <v>45079</v>
      </c>
      <c r="F549" s="11" t="s">
        <v>21</v>
      </c>
      <c r="G549" s="12">
        <v>-1560.34</v>
      </c>
    </row>
    <row r="550" spans="1:7">
      <c r="A550">
        <v>2023</v>
      </c>
      <c r="B550">
        <v>6</v>
      </c>
      <c r="C550">
        <v>30</v>
      </c>
      <c r="D550" s="1">
        <v>120</v>
      </c>
      <c r="E550" s="10">
        <v>45080</v>
      </c>
      <c r="F550" s="11" t="s">
        <v>21</v>
      </c>
      <c r="G550" s="12">
        <v>-1568.97</v>
      </c>
    </row>
    <row r="551" spans="1:7">
      <c r="A551">
        <v>2023</v>
      </c>
      <c r="B551">
        <v>7</v>
      </c>
      <c r="C551">
        <v>1</v>
      </c>
      <c r="D551" s="1">
        <v>330</v>
      </c>
      <c r="E551" s="10">
        <v>45081</v>
      </c>
      <c r="F551" s="11" t="s">
        <v>21</v>
      </c>
      <c r="G551" s="12">
        <v>-1719.83</v>
      </c>
    </row>
    <row r="552" spans="1:7">
      <c r="A552">
        <v>2023</v>
      </c>
      <c r="B552">
        <v>7</v>
      </c>
      <c r="C552">
        <v>2</v>
      </c>
      <c r="D552" s="1">
        <v>225</v>
      </c>
      <c r="E552" s="10">
        <v>45082</v>
      </c>
      <c r="F552" s="11" t="s">
        <v>21</v>
      </c>
      <c r="G552" s="12">
        <v>-724.14</v>
      </c>
    </row>
    <row r="553" spans="1:7">
      <c r="A553">
        <v>2023</v>
      </c>
      <c r="B553">
        <v>7</v>
      </c>
      <c r="C553">
        <v>3</v>
      </c>
      <c r="D553" s="1">
        <v>135</v>
      </c>
      <c r="E553" s="10">
        <v>45083</v>
      </c>
      <c r="F553" s="11" t="s">
        <v>21</v>
      </c>
      <c r="G553" s="12">
        <v>-1211.21</v>
      </c>
    </row>
    <row r="554" spans="1:7">
      <c r="A554">
        <v>2023</v>
      </c>
      <c r="B554">
        <v>7</v>
      </c>
      <c r="C554">
        <v>4</v>
      </c>
      <c r="D554" s="1">
        <v>885</v>
      </c>
      <c r="E554" s="10">
        <v>45084</v>
      </c>
      <c r="F554" s="11" t="s">
        <v>21</v>
      </c>
      <c r="G554" s="12">
        <v>-1685.34</v>
      </c>
    </row>
    <row r="555" spans="1:7">
      <c r="A555">
        <v>2023</v>
      </c>
      <c r="B555">
        <v>7</v>
      </c>
      <c r="C555">
        <v>5</v>
      </c>
      <c r="D555" s="1">
        <v>240</v>
      </c>
      <c r="E555" s="10">
        <v>45085</v>
      </c>
      <c r="F555" s="11" t="s">
        <v>21</v>
      </c>
      <c r="G555" s="12">
        <v>-1202.59</v>
      </c>
    </row>
    <row r="556" spans="1:7">
      <c r="A556">
        <v>2023</v>
      </c>
      <c r="B556">
        <v>7</v>
      </c>
      <c r="C556">
        <v>6</v>
      </c>
      <c r="D556" s="1">
        <v>1200</v>
      </c>
      <c r="E556" s="10">
        <v>45086</v>
      </c>
      <c r="F556" s="11" t="s">
        <v>21</v>
      </c>
      <c r="G556" s="12">
        <v>-1250</v>
      </c>
    </row>
    <row r="557" spans="1:7">
      <c r="A557">
        <v>2023</v>
      </c>
      <c r="B557">
        <v>7</v>
      </c>
      <c r="C557">
        <v>7</v>
      </c>
      <c r="D557" s="1">
        <v>270</v>
      </c>
      <c r="E557" s="10">
        <v>45087</v>
      </c>
      <c r="F557" s="11" t="s">
        <v>21</v>
      </c>
      <c r="G557" s="12">
        <v>-862.07</v>
      </c>
    </row>
    <row r="558" spans="1:7">
      <c r="A558">
        <v>2023</v>
      </c>
      <c r="B558">
        <v>7</v>
      </c>
      <c r="C558">
        <v>8</v>
      </c>
      <c r="D558" s="1">
        <v>0</v>
      </c>
      <c r="E558" s="10">
        <v>45088</v>
      </c>
      <c r="F558" s="11" t="s">
        <v>21</v>
      </c>
      <c r="G558" s="12">
        <v>-478.45</v>
      </c>
    </row>
    <row r="559" spans="1:7">
      <c r="A559">
        <v>2023</v>
      </c>
      <c r="B559">
        <v>7</v>
      </c>
      <c r="C559">
        <v>10</v>
      </c>
      <c r="D559" s="1">
        <v>60</v>
      </c>
      <c r="E559" s="10">
        <v>45089</v>
      </c>
      <c r="F559" s="11" t="s">
        <v>21</v>
      </c>
      <c r="G559" s="12">
        <v>-487.07</v>
      </c>
    </row>
    <row r="560" spans="1:7">
      <c r="A560">
        <v>2023</v>
      </c>
      <c r="B560">
        <v>7</v>
      </c>
      <c r="C560">
        <v>11</v>
      </c>
      <c r="D560" s="1">
        <v>255</v>
      </c>
      <c r="E560" s="10">
        <v>45090</v>
      </c>
      <c r="F560" s="11" t="s">
        <v>21</v>
      </c>
      <c r="G560" s="12">
        <v>-969.83</v>
      </c>
    </row>
    <row r="561" spans="1:7">
      <c r="A561">
        <v>2023</v>
      </c>
      <c r="B561">
        <v>7</v>
      </c>
      <c r="C561">
        <v>12</v>
      </c>
      <c r="D561" s="1">
        <v>645</v>
      </c>
      <c r="E561" s="10">
        <v>45091</v>
      </c>
      <c r="F561" s="11" t="s">
        <v>21</v>
      </c>
      <c r="G561" s="12">
        <v>-935.34</v>
      </c>
    </row>
    <row r="562" spans="1:7">
      <c r="A562">
        <v>2023</v>
      </c>
      <c r="B562">
        <v>7</v>
      </c>
      <c r="C562">
        <v>13</v>
      </c>
      <c r="D562" s="1">
        <v>210</v>
      </c>
      <c r="E562" s="10">
        <v>45092</v>
      </c>
      <c r="F562" s="11" t="s">
        <v>21</v>
      </c>
      <c r="G562" s="12">
        <v>-875</v>
      </c>
    </row>
    <row r="563" spans="1:7">
      <c r="A563">
        <v>2023</v>
      </c>
      <c r="B563">
        <v>7</v>
      </c>
      <c r="C563">
        <v>14</v>
      </c>
      <c r="D563" s="1">
        <v>345</v>
      </c>
      <c r="E563" s="10">
        <v>45093</v>
      </c>
      <c r="F563" s="11" t="s">
        <v>21</v>
      </c>
      <c r="G563" s="12">
        <v>-737.07</v>
      </c>
    </row>
    <row r="564" spans="1:7">
      <c r="A564">
        <v>2023</v>
      </c>
      <c r="B564">
        <v>7</v>
      </c>
      <c r="C564">
        <v>15</v>
      </c>
      <c r="D564" s="1">
        <v>480</v>
      </c>
      <c r="E564" s="10">
        <v>45094</v>
      </c>
      <c r="F564" s="11" t="s">
        <v>21</v>
      </c>
      <c r="G564" s="12">
        <v>-1409.48</v>
      </c>
    </row>
    <row r="565" spans="1:7">
      <c r="A565">
        <v>2023</v>
      </c>
      <c r="B565">
        <v>7</v>
      </c>
      <c r="C565">
        <v>16</v>
      </c>
      <c r="D565" s="1">
        <v>0</v>
      </c>
      <c r="E565" s="10">
        <v>45095</v>
      </c>
      <c r="F565" s="11" t="s">
        <v>21</v>
      </c>
      <c r="G565" s="12">
        <v>-375</v>
      </c>
    </row>
    <row r="566" spans="1:7">
      <c r="A566">
        <v>2023</v>
      </c>
      <c r="B566">
        <v>7</v>
      </c>
      <c r="C566">
        <v>17</v>
      </c>
      <c r="D566" s="1">
        <v>30</v>
      </c>
      <c r="E566" s="10">
        <v>45096</v>
      </c>
      <c r="F566" s="11" t="s">
        <v>21</v>
      </c>
      <c r="G566" s="12">
        <v>-405.17</v>
      </c>
    </row>
    <row r="567" spans="1:7">
      <c r="A567">
        <v>2023</v>
      </c>
      <c r="B567">
        <v>7</v>
      </c>
      <c r="C567">
        <v>18</v>
      </c>
      <c r="D567" s="1">
        <v>420</v>
      </c>
      <c r="E567" s="10">
        <v>45097</v>
      </c>
      <c r="F567" s="11" t="s">
        <v>21</v>
      </c>
      <c r="G567" s="12">
        <v>-663.79</v>
      </c>
    </row>
    <row r="568" spans="1:7">
      <c r="A568">
        <v>2023</v>
      </c>
      <c r="B568">
        <v>7</v>
      </c>
      <c r="C568">
        <v>19</v>
      </c>
      <c r="D568" s="1">
        <v>90</v>
      </c>
      <c r="E568" s="10">
        <v>45098</v>
      </c>
      <c r="F568" s="11" t="s">
        <v>21</v>
      </c>
      <c r="G568" s="12">
        <v>-866.38</v>
      </c>
    </row>
    <row r="569" spans="1:7">
      <c r="A569">
        <v>2023</v>
      </c>
      <c r="B569">
        <v>7</v>
      </c>
      <c r="C569">
        <v>20</v>
      </c>
      <c r="D569" s="1">
        <v>195</v>
      </c>
      <c r="E569" s="10">
        <v>45099</v>
      </c>
      <c r="F569" s="11" t="s">
        <v>21</v>
      </c>
      <c r="G569" s="12">
        <v>-271.55</v>
      </c>
    </row>
    <row r="570" spans="1:7">
      <c r="A570">
        <v>2023</v>
      </c>
      <c r="B570">
        <v>7</v>
      </c>
      <c r="C570">
        <v>21</v>
      </c>
      <c r="D570" s="1">
        <v>435</v>
      </c>
      <c r="E570" s="10">
        <v>45100</v>
      </c>
      <c r="F570" s="11" t="s">
        <v>21</v>
      </c>
      <c r="G570" s="12">
        <v>-737.07</v>
      </c>
    </row>
    <row r="571" spans="1:7">
      <c r="A571">
        <v>2023</v>
      </c>
      <c r="B571">
        <v>7</v>
      </c>
      <c r="C571">
        <v>22</v>
      </c>
      <c r="D571" s="1">
        <v>75</v>
      </c>
      <c r="E571" s="10">
        <v>45101</v>
      </c>
      <c r="F571" s="11" t="s">
        <v>21</v>
      </c>
      <c r="G571" s="12">
        <v>-387.93</v>
      </c>
    </row>
    <row r="572" spans="1:7">
      <c r="A572">
        <v>2023</v>
      </c>
      <c r="B572">
        <v>7</v>
      </c>
      <c r="C572">
        <v>23</v>
      </c>
      <c r="D572" s="1">
        <v>0</v>
      </c>
      <c r="E572" s="10">
        <v>45102</v>
      </c>
      <c r="F572" s="11" t="s">
        <v>21</v>
      </c>
      <c r="G572" s="12">
        <v>-943.97</v>
      </c>
    </row>
    <row r="573" spans="1:7">
      <c r="A573">
        <v>2023</v>
      </c>
      <c r="B573">
        <v>7</v>
      </c>
      <c r="C573">
        <v>24</v>
      </c>
      <c r="D573" s="1">
        <v>0</v>
      </c>
      <c r="E573" s="10">
        <v>45103</v>
      </c>
      <c r="F573" s="11" t="s">
        <v>21</v>
      </c>
      <c r="G573" s="12">
        <v>-737.07</v>
      </c>
    </row>
    <row r="574" spans="1:7">
      <c r="A574">
        <v>2023</v>
      </c>
      <c r="B574">
        <v>7</v>
      </c>
      <c r="C574">
        <v>25</v>
      </c>
      <c r="D574" s="1">
        <v>0</v>
      </c>
      <c r="E574" s="10">
        <v>45104</v>
      </c>
      <c r="F574" s="11" t="s">
        <v>21</v>
      </c>
      <c r="G574" s="12">
        <v>-1771.55</v>
      </c>
    </row>
    <row r="575" spans="1:7">
      <c r="A575">
        <v>2023</v>
      </c>
      <c r="B575">
        <v>7</v>
      </c>
      <c r="C575">
        <v>26</v>
      </c>
      <c r="D575" s="1">
        <v>60</v>
      </c>
      <c r="E575" s="10">
        <v>45105</v>
      </c>
      <c r="F575" s="11" t="s">
        <v>21</v>
      </c>
      <c r="G575" s="12">
        <v>-1228.45</v>
      </c>
    </row>
    <row r="576" spans="1:7">
      <c r="A576">
        <v>2023</v>
      </c>
      <c r="B576">
        <v>7</v>
      </c>
      <c r="C576">
        <v>27</v>
      </c>
      <c r="D576" s="1">
        <v>90</v>
      </c>
      <c r="E576" s="10">
        <v>45106</v>
      </c>
      <c r="F576" s="11" t="s">
        <v>21</v>
      </c>
      <c r="G576" s="12">
        <v>-491.38</v>
      </c>
    </row>
    <row r="577" spans="1:7">
      <c r="A577">
        <v>2023</v>
      </c>
      <c r="B577">
        <v>7</v>
      </c>
      <c r="C577">
        <v>28</v>
      </c>
      <c r="D577" s="1">
        <v>255</v>
      </c>
      <c r="E577" s="10">
        <v>45107</v>
      </c>
      <c r="F577" s="11" t="s">
        <v>21</v>
      </c>
      <c r="G577" s="12">
        <v>-995.69</v>
      </c>
    </row>
    <row r="578" spans="1:7">
      <c r="A578">
        <v>2023</v>
      </c>
      <c r="B578">
        <v>7</v>
      </c>
      <c r="C578">
        <v>29</v>
      </c>
      <c r="D578" s="1">
        <v>585</v>
      </c>
      <c r="E578" s="10">
        <v>45108</v>
      </c>
      <c r="F578" s="11" t="s">
        <v>21</v>
      </c>
      <c r="G578" s="12">
        <v>-2051.72</v>
      </c>
    </row>
    <row r="579" spans="1:7">
      <c r="A579">
        <v>2023</v>
      </c>
      <c r="B579">
        <v>7</v>
      </c>
      <c r="C579">
        <v>30</v>
      </c>
      <c r="D579" s="1">
        <v>45</v>
      </c>
      <c r="E579" s="10">
        <v>45109</v>
      </c>
      <c r="F579" s="11" t="s">
        <v>21</v>
      </c>
      <c r="G579" s="12">
        <v>-793.1</v>
      </c>
    </row>
    <row r="580" spans="1:7">
      <c r="A580">
        <v>2023</v>
      </c>
      <c r="B580">
        <v>7</v>
      </c>
      <c r="C580">
        <v>31</v>
      </c>
      <c r="D580" s="1">
        <v>165</v>
      </c>
      <c r="E580" s="10">
        <v>45110</v>
      </c>
      <c r="F580" s="11" t="s">
        <v>21</v>
      </c>
      <c r="G580" s="12">
        <v>-1370.69</v>
      </c>
    </row>
    <row r="581" spans="1:7">
      <c r="A581">
        <v>2023</v>
      </c>
      <c r="B581">
        <v>8</v>
      </c>
      <c r="C581">
        <v>1</v>
      </c>
      <c r="D581" s="1">
        <v>315</v>
      </c>
      <c r="E581" s="10">
        <v>45111</v>
      </c>
      <c r="F581" s="11" t="s">
        <v>21</v>
      </c>
      <c r="G581" s="12">
        <v>-1538.79</v>
      </c>
    </row>
    <row r="582" spans="1:7">
      <c r="A582">
        <v>2023</v>
      </c>
      <c r="B582">
        <v>8</v>
      </c>
      <c r="C582">
        <v>2</v>
      </c>
      <c r="D582" s="1">
        <v>1155</v>
      </c>
      <c r="E582" s="10">
        <v>45112</v>
      </c>
      <c r="F582" s="11" t="s">
        <v>21</v>
      </c>
      <c r="G582" s="12">
        <v>-3258.62</v>
      </c>
    </row>
    <row r="583" spans="1:7">
      <c r="A583">
        <v>2023</v>
      </c>
      <c r="B583">
        <v>8</v>
      </c>
      <c r="C583">
        <v>3</v>
      </c>
      <c r="D583" s="1">
        <v>225</v>
      </c>
      <c r="E583" s="10">
        <v>45113</v>
      </c>
      <c r="F583" s="11" t="s">
        <v>21</v>
      </c>
      <c r="G583" s="12">
        <v>-1297.41</v>
      </c>
    </row>
    <row r="584" spans="1:7">
      <c r="A584">
        <v>2023</v>
      </c>
      <c r="B584">
        <v>8</v>
      </c>
      <c r="C584">
        <v>4</v>
      </c>
      <c r="D584" s="1">
        <v>3165</v>
      </c>
      <c r="E584" s="10">
        <v>45114</v>
      </c>
      <c r="F584" s="11" t="s">
        <v>21</v>
      </c>
      <c r="G584" s="12">
        <v>-573.28</v>
      </c>
    </row>
    <row r="585" spans="1:7">
      <c r="A585">
        <v>2023</v>
      </c>
      <c r="B585">
        <v>8</v>
      </c>
      <c r="C585">
        <v>5</v>
      </c>
      <c r="D585" s="1">
        <v>345</v>
      </c>
      <c r="E585" s="10">
        <v>45115</v>
      </c>
      <c r="F585" s="11" t="s">
        <v>21</v>
      </c>
      <c r="G585" s="12">
        <v>-1030.17</v>
      </c>
    </row>
    <row r="586" spans="1:7">
      <c r="A586">
        <v>2023</v>
      </c>
      <c r="B586">
        <v>8</v>
      </c>
      <c r="C586">
        <v>6</v>
      </c>
      <c r="D586" s="1">
        <v>0</v>
      </c>
      <c r="E586" s="10">
        <v>45116</v>
      </c>
      <c r="F586" s="11" t="s">
        <v>21</v>
      </c>
      <c r="G586" s="12">
        <v>-362.07</v>
      </c>
    </row>
    <row r="587" spans="1:7">
      <c r="A587">
        <v>2023</v>
      </c>
      <c r="B587">
        <v>8</v>
      </c>
      <c r="C587">
        <v>7</v>
      </c>
      <c r="D587" s="1">
        <v>30</v>
      </c>
      <c r="E587" s="10">
        <v>45117</v>
      </c>
      <c r="F587" s="11" t="s">
        <v>21</v>
      </c>
      <c r="G587" s="12">
        <v>-275.86</v>
      </c>
    </row>
    <row r="588" spans="1:7">
      <c r="A588">
        <v>2023</v>
      </c>
      <c r="B588">
        <v>8</v>
      </c>
      <c r="C588">
        <v>8</v>
      </c>
      <c r="D588" s="1">
        <v>300</v>
      </c>
      <c r="E588" s="10">
        <v>45118</v>
      </c>
      <c r="F588" s="11" t="s">
        <v>21</v>
      </c>
      <c r="G588" s="12">
        <v>-974.14</v>
      </c>
    </row>
    <row r="589" spans="1:7">
      <c r="A589">
        <v>2023</v>
      </c>
      <c r="B589">
        <v>8</v>
      </c>
      <c r="C589">
        <v>9</v>
      </c>
      <c r="D589" s="1">
        <v>390</v>
      </c>
      <c r="E589" s="10">
        <v>45119</v>
      </c>
      <c r="F589" s="11" t="s">
        <v>21</v>
      </c>
      <c r="G589" s="12">
        <v>-1461.21</v>
      </c>
    </row>
    <row r="590" spans="1:7">
      <c r="A590">
        <v>2023</v>
      </c>
      <c r="B590">
        <v>8</v>
      </c>
      <c r="C590">
        <v>10</v>
      </c>
      <c r="D590" s="1">
        <v>420</v>
      </c>
      <c r="E590" s="10">
        <v>45120</v>
      </c>
      <c r="F590" s="11" t="s">
        <v>21</v>
      </c>
      <c r="G590" s="12">
        <v>-1728.45</v>
      </c>
    </row>
    <row r="591" spans="1:7">
      <c r="A591">
        <v>2023</v>
      </c>
      <c r="B591">
        <v>8</v>
      </c>
      <c r="C591">
        <v>11</v>
      </c>
      <c r="D591" s="1">
        <v>150</v>
      </c>
      <c r="E591" s="10">
        <v>45121</v>
      </c>
      <c r="F591" s="11" t="s">
        <v>21</v>
      </c>
      <c r="G591" s="12">
        <v>-1491.38</v>
      </c>
    </row>
    <row r="592" spans="1:7">
      <c r="A592">
        <v>2023</v>
      </c>
      <c r="B592">
        <v>8</v>
      </c>
      <c r="C592">
        <v>12</v>
      </c>
      <c r="D592" s="1">
        <v>1500</v>
      </c>
      <c r="E592" s="10">
        <v>45122</v>
      </c>
      <c r="F592" s="11" t="s">
        <v>21</v>
      </c>
      <c r="G592" s="12">
        <v>-1758.62</v>
      </c>
    </row>
    <row r="593" spans="1:7">
      <c r="A593">
        <v>2023</v>
      </c>
      <c r="B593">
        <v>8</v>
      </c>
      <c r="C593">
        <v>13</v>
      </c>
      <c r="D593" s="1">
        <v>1425</v>
      </c>
      <c r="E593" s="10">
        <v>45123</v>
      </c>
      <c r="F593" s="11" t="s">
        <v>21</v>
      </c>
      <c r="G593" s="12">
        <v>-594.83</v>
      </c>
    </row>
    <row r="594" spans="1:7">
      <c r="A594">
        <v>2023</v>
      </c>
      <c r="B594">
        <v>8</v>
      </c>
      <c r="C594">
        <v>14</v>
      </c>
      <c r="D594" s="1">
        <v>1380</v>
      </c>
      <c r="E594" s="10">
        <v>45124</v>
      </c>
      <c r="F594" s="11" t="s">
        <v>21</v>
      </c>
      <c r="G594" s="12">
        <v>-543.1</v>
      </c>
    </row>
    <row r="595" spans="1:7">
      <c r="A595">
        <v>2023</v>
      </c>
      <c r="B595">
        <v>8</v>
      </c>
      <c r="C595">
        <v>15</v>
      </c>
      <c r="D595" s="1">
        <v>1410</v>
      </c>
      <c r="E595" s="10">
        <v>45125</v>
      </c>
      <c r="F595" s="11" t="s">
        <v>21</v>
      </c>
      <c r="G595" s="12">
        <v>-1215.52</v>
      </c>
    </row>
    <row r="596" spans="1:7">
      <c r="A596">
        <v>2023</v>
      </c>
      <c r="B596">
        <v>8</v>
      </c>
      <c r="C596">
        <v>16</v>
      </c>
      <c r="D596" s="1">
        <v>855</v>
      </c>
      <c r="E596" s="10">
        <v>45126</v>
      </c>
      <c r="F596" s="11" t="s">
        <v>21</v>
      </c>
      <c r="G596" s="12">
        <v>-637.93</v>
      </c>
    </row>
    <row r="597" spans="1:7">
      <c r="A597">
        <v>2023</v>
      </c>
      <c r="B597">
        <v>8</v>
      </c>
      <c r="C597">
        <v>17</v>
      </c>
      <c r="D597" s="1">
        <v>1845</v>
      </c>
      <c r="E597" s="10">
        <v>45127</v>
      </c>
      <c r="F597" s="11" t="s">
        <v>21</v>
      </c>
      <c r="G597" s="12">
        <v>-965.52</v>
      </c>
    </row>
    <row r="598" spans="1:7">
      <c r="A598">
        <v>2023</v>
      </c>
      <c r="B598">
        <v>8</v>
      </c>
      <c r="C598">
        <v>18</v>
      </c>
      <c r="D598" s="1">
        <v>1530</v>
      </c>
      <c r="E598" s="10">
        <v>45128</v>
      </c>
      <c r="F598" s="11" t="s">
        <v>21</v>
      </c>
      <c r="G598" s="12">
        <v>-1047.41</v>
      </c>
    </row>
    <row r="599" spans="1:7">
      <c r="A599">
        <v>2023</v>
      </c>
      <c r="B599">
        <v>8</v>
      </c>
      <c r="C599">
        <v>19</v>
      </c>
      <c r="D599" s="1">
        <v>690</v>
      </c>
      <c r="E599" s="10">
        <v>45129</v>
      </c>
      <c r="F599" s="11" t="s">
        <v>21</v>
      </c>
      <c r="G599" s="12">
        <v>-594.83</v>
      </c>
    </row>
    <row r="600" spans="1:7">
      <c r="A600">
        <v>2023</v>
      </c>
      <c r="B600">
        <v>8</v>
      </c>
      <c r="C600">
        <v>20</v>
      </c>
      <c r="D600" s="1">
        <v>720</v>
      </c>
      <c r="E600" s="10">
        <v>45130</v>
      </c>
      <c r="F600" s="11" t="s">
        <v>21</v>
      </c>
      <c r="G600" s="12">
        <v>-702.59</v>
      </c>
    </row>
    <row r="601" spans="1:7">
      <c r="A601">
        <v>2023</v>
      </c>
      <c r="B601">
        <v>8</v>
      </c>
      <c r="C601">
        <v>21</v>
      </c>
      <c r="D601" s="1">
        <v>405</v>
      </c>
      <c r="E601" s="10">
        <v>45131</v>
      </c>
      <c r="F601" s="11" t="s">
        <v>21</v>
      </c>
      <c r="G601" s="12">
        <v>-2060.34</v>
      </c>
    </row>
    <row r="602" spans="1:7">
      <c r="A602">
        <v>2023</v>
      </c>
      <c r="B602">
        <v>8</v>
      </c>
      <c r="C602">
        <v>22</v>
      </c>
      <c r="D602" s="1">
        <v>1470</v>
      </c>
      <c r="E602" s="10">
        <v>45132</v>
      </c>
      <c r="F602" s="11" t="s">
        <v>21</v>
      </c>
      <c r="G602" s="12">
        <v>-982.76</v>
      </c>
    </row>
    <row r="603" spans="1:7">
      <c r="A603">
        <v>2023</v>
      </c>
      <c r="B603">
        <v>8</v>
      </c>
      <c r="C603">
        <v>23</v>
      </c>
      <c r="D603" s="1">
        <v>225</v>
      </c>
      <c r="E603" s="10">
        <v>45133</v>
      </c>
      <c r="F603" s="11" t="s">
        <v>21</v>
      </c>
      <c r="G603" s="12">
        <v>-1008.62</v>
      </c>
    </row>
    <row r="604" spans="1:7">
      <c r="A604">
        <v>2023</v>
      </c>
      <c r="B604">
        <v>8</v>
      </c>
      <c r="C604">
        <v>24</v>
      </c>
      <c r="D604" s="1">
        <v>735</v>
      </c>
      <c r="E604" s="10">
        <v>45134</v>
      </c>
      <c r="F604" s="11" t="s">
        <v>21</v>
      </c>
      <c r="G604" s="12">
        <v>-801.72</v>
      </c>
    </row>
    <row r="605" spans="1:7">
      <c r="A605">
        <v>2023</v>
      </c>
      <c r="B605">
        <v>8</v>
      </c>
      <c r="C605">
        <v>25</v>
      </c>
      <c r="D605" s="1">
        <v>480</v>
      </c>
      <c r="E605" s="10">
        <v>45135</v>
      </c>
      <c r="F605" s="11" t="s">
        <v>21</v>
      </c>
      <c r="G605" s="12">
        <v>-737.07</v>
      </c>
    </row>
    <row r="606" spans="1:7">
      <c r="A606">
        <v>2023</v>
      </c>
      <c r="B606">
        <v>8</v>
      </c>
      <c r="C606">
        <v>26</v>
      </c>
      <c r="D606" s="1">
        <v>420</v>
      </c>
      <c r="E606" s="10">
        <v>45136</v>
      </c>
      <c r="F606" s="11" t="s">
        <v>21</v>
      </c>
      <c r="G606" s="12">
        <v>-2275.86</v>
      </c>
    </row>
    <row r="607" spans="1:7">
      <c r="A607">
        <v>2023</v>
      </c>
      <c r="B607">
        <v>8</v>
      </c>
      <c r="C607">
        <v>27</v>
      </c>
      <c r="D607" s="1">
        <v>645</v>
      </c>
      <c r="E607" s="10">
        <v>45137</v>
      </c>
      <c r="F607" s="11" t="s">
        <v>21</v>
      </c>
      <c r="G607" s="12">
        <v>-1228.45</v>
      </c>
    </row>
    <row r="608" spans="1:7">
      <c r="A608">
        <v>2023</v>
      </c>
      <c r="B608">
        <v>8</v>
      </c>
      <c r="C608">
        <v>28</v>
      </c>
      <c r="D608" s="1">
        <v>315</v>
      </c>
      <c r="E608" s="10">
        <v>45138</v>
      </c>
      <c r="F608" s="11" t="s">
        <v>21</v>
      </c>
      <c r="G608" s="12">
        <v>-853.45</v>
      </c>
    </row>
    <row r="609" spans="1:7">
      <c r="A609">
        <v>2023</v>
      </c>
      <c r="B609">
        <v>8</v>
      </c>
      <c r="C609">
        <v>29</v>
      </c>
      <c r="D609" s="1">
        <v>75</v>
      </c>
      <c r="E609" s="10">
        <v>45139</v>
      </c>
      <c r="F609" s="11" t="s">
        <v>21</v>
      </c>
      <c r="G609" s="12">
        <v>-1189.66</v>
      </c>
    </row>
    <row r="610" spans="1:7">
      <c r="A610">
        <v>2023</v>
      </c>
      <c r="B610">
        <v>8</v>
      </c>
      <c r="C610">
        <v>30</v>
      </c>
      <c r="D610" s="1">
        <v>810</v>
      </c>
      <c r="E610" s="10">
        <v>45140</v>
      </c>
      <c r="F610" s="11" t="s">
        <v>21</v>
      </c>
      <c r="G610" s="12">
        <v>-1482.76</v>
      </c>
    </row>
    <row r="611" spans="1:7">
      <c r="A611">
        <v>2023</v>
      </c>
      <c r="B611">
        <v>8</v>
      </c>
      <c r="C611">
        <v>31</v>
      </c>
      <c r="D611" s="1">
        <v>1350</v>
      </c>
      <c r="E611" s="10">
        <v>45141</v>
      </c>
      <c r="F611" s="11" t="s">
        <v>21</v>
      </c>
      <c r="G611" s="12">
        <v>-362.07</v>
      </c>
    </row>
    <row r="612" spans="1:7">
      <c r="A612">
        <v>2023</v>
      </c>
      <c r="B612">
        <v>9</v>
      </c>
      <c r="C612">
        <v>1</v>
      </c>
      <c r="D612" s="1">
        <v>465</v>
      </c>
      <c r="E612" s="10">
        <v>45142</v>
      </c>
      <c r="F612" s="11" t="s">
        <v>21</v>
      </c>
      <c r="G612" s="12">
        <v>-3530.17</v>
      </c>
    </row>
    <row r="613" spans="1:7">
      <c r="A613">
        <v>2023</v>
      </c>
      <c r="B613">
        <v>9</v>
      </c>
      <c r="C613">
        <v>2</v>
      </c>
      <c r="D613" s="1">
        <v>645</v>
      </c>
      <c r="E613" s="10">
        <v>45143</v>
      </c>
      <c r="F613" s="11" t="s">
        <v>21</v>
      </c>
      <c r="G613" s="12">
        <v>-1603.45</v>
      </c>
    </row>
    <row r="614" spans="1:7">
      <c r="A614">
        <v>2023</v>
      </c>
      <c r="B614">
        <v>9</v>
      </c>
      <c r="C614">
        <v>3</v>
      </c>
      <c r="D614" s="1">
        <v>405</v>
      </c>
      <c r="E614" s="10">
        <v>45144</v>
      </c>
      <c r="F614" s="11" t="s">
        <v>21</v>
      </c>
      <c r="G614" s="12">
        <v>-741.38</v>
      </c>
    </row>
    <row r="615" spans="1:7">
      <c r="A615">
        <v>2023</v>
      </c>
      <c r="B615">
        <v>9</v>
      </c>
      <c r="C615">
        <v>4</v>
      </c>
      <c r="D615" s="1">
        <v>90</v>
      </c>
      <c r="E615" s="10">
        <v>45145</v>
      </c>
      <c r="F615" s="11" t="s">
        <v>21</v>
      </c>
      <c r="G615" s="12">
        <v>-1099.14</v>
      </c>
    </row>
    <row r="616" spans="1:7">
      <c r="A616">
        <v>2023</v>
      </c>
      <c r="B616">
        <v>9</v>
      </c>
      <c r="C616">
        <v>5</v>
      </c>
      <c r="D616" s="1">
        <v>750</v>
      </c>
      <c r="E616" s="10">
        <v>45146</v>
      </c>
      <c r="F616" s="11" t="s">
        <v>21</v>
      </c>
      <c r="G616" s="12">
        <v>-1405.17</v>
      </c>
    </row>
    <row r="617" spans="1:7">
      <c r="A617">
        <v>2023</v>
      </c>
      <c r="B617">
        <v>9</v>
      </c>
      <c r="C617">
        <v>6</v>
      </c>
      <c r="D617" s="1">
        <v>465</v>
      </c>
      <c r="E617" s="10">
        <v>45147</v>
      </c>
      <c r="F617" s="11" t="s">
        <v>21</v>
      </c>
      <c r="G617" s="12">
        <v>-1590.52</v>
      </c>
    </row>
    <row r="618" spans="1:7">
      <c r="A618">
        <v>2023</v>
      </c>
      <c r="B618">
        <v>9</v>
      </c>
      <c r="C618">
        <v>7</v>
      </c>
      <c r="D618" s="1">
        <v>240</v>
      </c>
      <c r="E618" s="10">
        <v>45148</v>
      </c>
      <c r="F618" s="11" t="s">
        <v>21</v>
      </c>
      <c r="G618" s="12">
        <v>-465.52</v>
      </c>
    </row>
    <row r="619" spans="1:7">
      <c r="A619">
        <v>2023</v>
      </c>
      <c r="B619">
        <v>9</v>
      </c>
      <c r="C619">
        <v>8</v>
      </c>
      <c r="D619" s="1">
        <v>480</v>
      </c>
      <c r="E619" s="10">
        <v>45149</v>
      </c>
      <c r="F619" s="11" t="s">
        <v>21</v>
      </c>
      <c r="G619" s="12">
        <v>-375</v>
      </c>
    </row>
    <row r="620" spans="1:7">
      <c r="A620">
        <v>2023</v>
      </c>
      <c r="B620">
        <v>9</v>
      </c>
      <c r="C620">
        <v>9</v>
      </c>
      <c r="D620" s="1">
        <v>210</v>
      </c>
      <c r="E620" s="10">
        <v>45150</v>
      </c>
      <c r="F620" s="11" t="s">
        <v>21</v>
      </c>
      <c r="G620" s="12">
        <v>-1862.07</v>
      </c>
    </row>
    <row r="621" spans="1:7">
      <c r="A621">
        <v>2023</v>
      </c>
      <c r="B621">
        <v>9</v>
      </c>
      <c r="C621">
        <v>10</v>
      </c>
      <c r="D621" s="1">
        <v>1305</v>
      </c>
      <c r="E621" s="10">
        <v>45151</v>
      </c>
      <c r="F621" s="11" t="s">
        <v>21</v>
      </c>
      <c r="G621" s="12">
        <v>-1409.48</v>
      </c>
    </row>
    <row r="622" spans="1:7">
      <c r="A622">
        <v>2023</v>
      </c>
      <c r="B622">
        <v>9</v>
      </c>
      <c r="C622">
        <v>11</v>
      </c>
      <c r="D622" s="1">
        <v>1965</v>
      </c>
      <c r="E622" s="10">
        <v>45152</v>
      </c>
      <c r="F622" s="11" t="s">
        <v>21</v>
      </c>
      <c r="G622" s="12">
        <v>-1590.52</v>
      </c>
    </row>
    <row r="623" spans="1:7">
      <c r="A623">
        <v>2023</v>
      </c>
      <c r="B623">
        <v>9</v>
      </c>
      <c r="C623">
        <v>12</v>
      </c>
      <c r="D623" s="1">
        <v>915</v>
      </c>
      <c r="E623" s="10">
        <v>45153</v>
      </c>
      <c r="F623" s="11" t="s">
        <v>21</v>
      </c>
      <c r="G623" s="12">
        <v>-1512.93</v>
      </c>
    </row>
    <row r="624" spans="1:7">
      <c r="A624">
        <v>2023</v>
      </c>
      <c r="B624">
        <v>9</v>
      </c>
      <c r="C624">
        <v>13</v>
      </c>
      <c r="D624" s="1">
        <v>615</v>
      </c>
      <c r="E624" s="10">
        <v>45154</v>
      </c>
      <c r="F624" s="11" t="s">
        <v>21</v>
      </c>
      <c r="G624" s="12">
        <v>-956.9</v>
      </c>
    </row>
    <row r="625" spans="1:7">
      <c r="A625">
        <v>2023</v>
      </c>
      <c r="B625">
        <v>9</v>
      </c>
      <c r="C625">
        <v>14</v>
      </c>
      <c r="D625" s="1">
        <v>555</v>
      </c>
      <c r="E625" s="10">
        <v>45155</v>
      </c>
      <c r="F625" s="11" t="s">
        <v>21</v>
      </c>
      <c r="G625" s="12">
        <v>-2314.66</v>
      </c>
    </row>
    <row r="626" spans="1:7">
      <c r="A626">
        <v>2023</v>
      </c>
      <c r="B626">
        <v>9</v>
      </c>
      <c r="C626">
        <v>15</v>
      </c>
      <c r="D626" s="1">
        <v>735</v>
      </c>
      <c r="E626" s="10">
        <v>45156</v>
      </c>
      <c r="F626" s="11" t="s">
        <v>21</v>
      </c>
      <c r="G626" s="12">
        <v>-1693.97</v>
      </c>
    </row>
    <row r="627" spans="1:7">
      <c r="A627">
        <v>2023</v>
      </c>
      <c r="B627">
        <v>9</v>
      </c>
      <c r="C627">
        <v>16</v>
      </c>
      <c r="D627" s="1">
        <v>75</v>
      </c>
      <c r="E627" s="10">
        <v>45157</v>
      </c>
      <c r="F627" s="11" t="s">
        <v>21</v>
      </c>
      <c r="G627" s="12">
        <v>-2288.79</v>
      </c>
    </row>
    <row r="628" spans="1:7">
      <c r="A628">
        <v>2023</v>
      </c>
      <c r="B628">
        <v>9</v>
      </c>
      <c r="C628">
        <v>17</v>
      </c>
      <c r="D628" s="1">
        <v>915</v>
      </c>
      <c r="E628" s="10">
        <v>45158</v>
      </c>
      <c r="F628" s="11" t="s">
        <v>21</v>
      </c>
      <c r="G628" s="12">
        <v>-1163.79</v>
      </c>
    </row>
    <row r="629" spans="1:7">
      <c r="A629">
        <v>2023</v>
      </c>
      <c r="B629">
        <v>9</v>
      </c>
      <c r="C629">
        <v>18</v>
      </c>
      <c r="D629" s="1">
        <v>990</v>
      </c>
      <c r="E629" s="10">
        <v>45159</v>
      </c>
      <c r="F629" s="11" t="s">
        <v>21</v>
      </c>
      <c r="G629" s="12">
        <v>-1245.69</v>
      </c>
    </row>
    <row r="630" spans="1:7">
      <c r="A630">
        <v>2023</v>
      </c>
      <c r="B630">
        <v>9</v>
      </c>
      <c r="C630">
        <v>19</v>
      </c>
      <c r="D630" s="1">
        <v>1110</v>
      </c>
      <c r="E630" s="10">
        <v>45160</v>
      </c>
      <c r="F630" s="11" t="s">
        <v>21</v>
      </c>
      <c r="G630" s="12">
        <v>-1758.62</v>
      </c>
    </row>
    <row r="631" spans="1:7">
      <c r="A631">
        <v>2023</v>
      </c>
      <c r="B631">
        <v>9</v>
      </c>
      <c r="C631">
        <v>20</v>
      </c>
      <c r="D631" s="1">
        <v>900</v>
      </c>
      <c r="E631" s="10">
        <v>45161</v>
      </c>
      <c r="F631" s="11" t="s">
        <v>21</v>
      </c>
      <c r="G631" s="12">
        <v>-956.9</v>
      </c>
    </row>
    <row r="632" spans="1:7">
      <c r="A632">
        <v>2023</v>
      </c>
      <c r="B632">
        <v>9</v>
      </c>
      <c r="C632">
        <v>21</v>
      </c>
      <c r="D632" s="1">
        <v>525</v>
      </c>
      <c r="E632" s="10">
        <v>45162</v>
      </c>
      <c r="F632" s="11" t="s">
        <v>21</v>
      </c>
      <c r="G632" s="12">
        <v>-2909.48</v>
      </c>
    </row>
    <row r="633" spans="1:7">
      <c r="A633">
        <v>2023</v>
      </c>
      <c r="B633">
        <v>9</v>
      </c>
      <c r="C633">
        <v>22</v>
      </c>
      <c r="D633" s="1">
        <v>330</v>
      </c>
      <c r="E633" s="10">
        <v>45163</v>
      </c>
      <c r="F633" s="11" t="s">
        <v>21</v>
      </c>
      <c r="G633" s="12">
        <v>-607.76</v>
      </c>
    </row>
    <row r="634" spans="1:7">
      <c r="A634">
        <v>2023</v>
      </c>
      <c r="B634">
        <v>9</v>
      </c>
      <c r="C634">
        <v>23</v>
      </c>
      <c r="D634" s="1">
        <v>1950</v>
      </c>
      <c r="E634" s="10">
        <v>45164</v>
      </c>
      <c r="F634" s="11" t="s">
        <v>21</v>
      </c>
      <c r="G634" s="12">
        <v>-1413.79</v>
      </c>
    </row>
    <row r="635" spans="1:7">
      <c r="A635">
        <v>2023</v>
      </c>
      <c r="B635">
        <v>9</v>
      </c>
      <c r="C635">
        <v>24</v>
      </c>
      <c r="D635" s="1">
        <v>675</v>
      </c>
      <c r="E635" s="10">
        <v>45165</v>
      </c>
      <c r="F635" s="11" t="s">
        <v>21</v>
      </c>
      <c r="G635" s="12">
        <v>-918.1</v>
      </c>
    </row>
    <row r="636" spans="1:7">
      <c r="A636">
        <v>2023</v>
      </c>
      <c r="B636">
        <v>9</v>
      </c>
      <c r="C636">
        <v>25</v>
      </c>
      <c r="D636" s="1">
        <v>435</v>
      </c>
      <c r="E636" s="10">
        <v>45166</v>
      </c>
      <c r="F636" s="11" t="s">
        <v>21</v>
      </c>
      <c r="G636" s="12">
        <v>-478.45</v>
      </c>
    </row>
    <row r="637" spans="1:7">
      <c r="A637">
        <v>2023</v>
      </c>
      <c r="B637">
        <v>9</v>
      </c>
      <c r="C637">
        <v>26</v>
      </c>
      <c r="D637" s="1">
        <v>1365</v>
      </c>
      <c r="E637" s="10">
        <v>45167</v>
      </c>
      <c r="F637" s="11" t="s">
        <v>21</v>
      </c>
      <c r="G637" s="12">
        <v>-452.59</v>
      </c>
    </row>
    <row r="638" spans="1:7">
      <c r="A638">
        <v>2023</v>
      </c>
      <c r="B638">
        <v>9</v>
      </c>
      <c r="C638">
        <v>27</v>
      </c>
      <c r="D638" s="1">
        <v>630</v>
      </c>
      <c r="E638" s="10">
        <v>45168</v>
      </c>
      <c r="F638" s="11" t="s">
        <v>21</v>
      </c>
      <c r="G638" s="12">
        <v>-1603.45</v>
      </c>
    </row>
    <row r="639" spans="1:7">
      <c r="A639">
        <v>2023</v>
      </c>
      <c r="B639">
        <v>9</v>
      </c>
      <c r="C639">
        <v>28</v>
      </c>
      <c r="D639" s="1">
        <v>1080</v>
      </c>
      <c r="E639" s="10">
        <v>45169</v>
      </c>
      <c r="F639" s="11" t="s">
        <v>21</v>
      </c>
      <c r="G639" s="12">
        <v>-2504.31</v>
      </c>
    </row>
    <row r="640" spans="1:7">
      <c r="A640">
        <v>2023</v>
      </c>
      <c r="B640">
        <v>9</v>
      </c>
      <c r="C640">
        <v>29</v>
      </c>
      <c r="D640" s="1">
        <v>900</v>
      </c>
      <c r="E640" s="10">
        <v>45170</v>
      </c>
      <c r="F640" s="11" t="s">
        <v>21</v>
      </c>
      <c r="G640" s="12">
        <v>-1206.9</v>
      </c>
    </row>
    <row r="641" spans="1:7">
      <c r="A641">
        <v>2023</v>
      </c>
      <c r="B641">
        <v>9</v>
      </c>
      <c r="C641">
        <v>30</v>
      </c>
      <c r="D641" s="1">
        <v>675</v>
      </c>
      <c r="E641" s="10">
        <v>45171</v>
      </c>
      <c r="F641" s="11" t="s">
        <v>21</v>
      </c>
      <c r="G641" s="12">
        <v>-1293.1</v>
      </c>
    </row>
    <row r="642" spans="1:7">
      <c r="A642">
        <v>2023</v>
      </c>
      <c r="B642">
        <v>10</v>
      </c>
      <c r="C642">
        <v>1</v>
      </c>
      <c r="D642" s="1">
        <v>195</v>
      </c>
      <c r="E642" s="10">
        <v>45172</v>
      </c>
      <c r="F642" s="11" t="s">
        <v>21</v>
      </c>
      <c r="G642" s="12">
        <v>-637.93</v>
      </c>
    </row>
    <row r="643" spans="1:7">
      <c r="A643">
        <v>2023</v>
      </c>
      <c r="B643">
        <v>10</v>
      </c>
      <c r="C643">
        <v>2</v>
      </c>
      <c r="D643" s="1">
        <v>285</v>
      </c>
      <c r="E643" s="10">
        <v>45173</v>
      </c>
      <c r="F643" s="11" t="s">
        <v>21</v>
      </c>
      <c r="G643" s="12">
        <v>-724.14</v>
      </c>
    </row>
    <row r="644" spans="1:7">
      <c r="A644">
        <v>2023</v>
      </c>
      <c r="B644">
        <v>10</v>
      </c>
      <c r="C644">
        <v>3</v>
      </c>
      <c r="D644" s="1">
        <v>90</v>
      </c>
      <c r="E644" s="10">
        <v>45174</v>
      </c>
      <c r="F644" s="11" t="s">
        <v>21</v>
      </c>
      <c r="G644" s="12">
        <v>-607.76</v>
      </c>
    </row>
    <row r="645" spans="1:7">
      <c r="A645">
        <v>2023</v>
      </c>
      <c r="B645">
        <v>10</v>
      </c>
      <c r="C645">
        <v>4</v>
      </c>
      <c r="D645" s="1">
        <v>795</v>
      </c>
      <c r="E645" s="10">
        <v>45175</v>
      </c>
      <c r="F645" s="11" t="s">
        <v>21</v>
      </c>
      <c r="G645" s="12">
        <v>-2560.34</v>
      </c>
    </row>
    <row r="646" spans="1:7">
      <c r="A646">
        <v>2023</v>
      </c>
      <c r="B646">
        <v>10</v>
      </c>
      <c r="C646">
        <v>5</v>
      </c>
      <c r="D646" s="1">
        <v>240</v>
      </c>
      <c r="E646" s="10">
        <v>45176</v>
      </c>
      <c r="F646" s="11" t="s">
        <v>21</v>
      </c>
      <c r="G646" s="12">
        <v>-2008.62</v>
      </c>
    </row>
    <row r="647" spans="1:7">
      <c r="A647">
        <v>2023</v>
      </c>
      <c r="B647">
        <v>10</v>
      </c>
      <c r="C647">
        <v>6</v>
      </c>
      <c r="D647" s="1">
        <v>585</v>
      </c>
      <c r="E647" s="10">
        <v>45177</v>
      </c>
      <c r="F647" s="11" t="s">
        <v>21</v>
      </c>
      <c r="G647" s="12">
        <v>-284.48</v>
      </c>
    </row>
    <row r="648" spans="1:7">
      <c r="A648">
        <v>2023</v>
      </c>
      <c r="B648">
        <v>10</v>
      </c>
      <c r="C648">
        <v>7</v>
      </c>
      <c r="D648" s="1">
        <v>330</v>
      </c>
      <c r="E648" s="10">
        <v>45178</v>
      </c>
      <c r="F648" s="11" t="s">
        <v>21</v>
      </c>
      <c r="G648" s="12">
        <v>-2107.76</v>
      </c>
    </row>
    <row r="649" spans="1:7">
      <c r="A649">
        <v>2023</v>
      </c>
      <c r="B649">
        <v>10</v>
      </c>
      <c r="C649">
        <v>9</v>
      </c>
      <c r="D649" s="1">
        <v>330</v>
      </c>
      <c r="E649" s="10">
        <v>45179</v>
      </c>
      <c r="F649" s="11" t="s">
        <v>21</v>
      </c>
      <c r="G649" s="12">
        <v>-1150.86</v>
      </c>
    </row>
    <row r="650" spans="1:7">
      <c r="A650">
        <v>2023</v>
      </c>
      <c r="B650">
        <v>10</v>
      </c>
      <c r="C650">
        <v>10</v>
      </c>
      <c r="D650" s="1">
        <v>1635</v>
      </c>
      <c r="E650" s="10">
        <v>45180</v>
      </c>
      <c r="F650" s="11" t="s">
        <v>21</v>
      </c>
      <c r="G650" s="12">
        <v>-2443.97</v>
      </c>
    </row>
    <row r="651" spans="1:7">
      <c r="A651">
        <v>2023</v>
      </c>
      <c r="B651">
        <v>10</v>
      </c>
      <c r="C651">
        <v>11</v>
      </c>
      <c r="D651" s="1">
        <v>600</v>
      </c>
      <c r="E651" s="10">
        <v>45181</v>
      </c>
      <c r="F651" s="11" t="s">
        <v>21</v>
      </c>
      <c r="G651" s="12">
        <v>-978.45</v>
      </c>
    </row>
    <row r="652" spans="1:7">
      <c r="A652">
        <v>2023</v>
      </c>
      <c r="B652">
        <v>10</v>
      </c>
      <c r="C652">
        <v>12</v>
      </c>
      <c r="D652" s="1">
        <v>405</v>
      </c>
      <c r="E652" s="10">
        <v>45182</v>
      </c>
      <c r="F652" s="11" t="s">
        <v>21</v>
      </c>
      <c r="G652" s="12">
        <v>-1422.41</v>
      </c>
    </row>
    <row r="653" spans="1:7">
      <c r="A653">
        <v>2023</v>
      </c>
      <c r="B653">
        <v>10</v>
      </c>
      <c r="C653">
        <v>13</v>
      </c>
      <c r="D653" s="1">
        <v>135</v>
      </c>
      <c r="E653" s="10">
        <v>45183</v>
      </c>
      <c r="F653" s="11" t="s">
        <v>21</v>
      </c>
      <c r="G653" s="12">
        <v>-1254.31</v>
      </c>
    </row>
    <row r="654" spans="1:7">
      <c r="A654">
        <v>2023</v>
      </c>
      <c r="B654">
        <v>10</v>
      </c>
      <c r="C654">
        <v>14</v>
      </c>
      <c r="D654" s="1">
        <v>0</v>
      </c>
      <c r="E654" s="10">
        <v>45184</v>
      </c>
      <c r="F654" s="11" t="s">
        <v>21</v>
      </c>
      <c r="G654" s="12">
        <v>-801.72</v>
      </c>
    </row>
    <row r="655" spans="1:7">
      <c r="A655">
        <v>2023</v>
      </c>
      <c r="B655">
        <v>10</v>
      </c>
      <c r="C655">
        <v>15</v>
      </c>
      <c r="D655" s="1">
        <v>60</v>
      </c>
      <c r="E655" s="10">
        <v>45185</v>
      </c>
      <c r="F655" s="11" t="s">
        <v>21</v>
      </c>
      <c r="G655" s="12">
        <v>-1603.45</v>
      </c>
    </row>
    <row r="656" spans="1:7">
      <c r="A656">
        <v>2023</v>
      </c>
      <c r="B656">
        <v>10</v>
      </c>
      <c r="C656">
        <v>16</v>
      </c>
      <c r="D656" s="1">
        <v>30</v>
      </c>
      <c r="E656" s="10">
        <v>45186</v>
      </c>
      <c r="F656" s="11" t="s">
        <v>21</v>
      </c>
      <c r="G656" s="12">
        <v>-892.24</v>
      </c>
    </row>
    <row r="657" spans="1:7">
      <c r="A657">
        <v>2023</v>
      </c>
      <c r="B657">
        <v>10</v>
      </c>
      <c r="C657">
        <v>17</v>
      </c>
      <c r="D657" s="1">
        <v>495</v>
      </c>
      <c r="E657" s="10">
        <v>45187</v>
      </c>
      <c r="F657" s="11" t="s">
        <v>21</v>
      </c>
      <c r="G657" s="12">
        <v>-1784.48</v>
      </c>
    </row>
    <row r="658" spans="1:7">
      <c r="A658">
        <v>2023</v>
      </c>
      <c r="B658">
        <v>10</v>
      </c>
      <c r="C658">
        <v>18</v>
      </c>
      <c r="D658" s="1">
        <v>2070</v>
      </c>
      <c r="E658" s="10">
        <v>45188</v>
      </c>
      <c r="F658" s="11" t="s">
        <v>21</v>
      </c>
      <c r="G658" s="12">
        <v>-1245.69</v>
      </c>
    </row>
    <row r="659" spans="1:7">
      <c r="A659">
        <v>2023</v>
      </c>
      <c r="B659">
        <v>10</v>
      </c>
      <c r="C659">
        <v>19</v>
      </c>
      <c r="D659" s="1">
        <v>735</v>
      </c>
      <c r="E659" s="10">
        <v>45189</v>
      </c>
      <c r="F659" s="11" t="s">
        <v>21</v>
      </c>
      <c r="G659" s="12">
        <v>-719.83</v>
      </c>
    </row>
    <row r="660" spans="1:7">
      <c r="A660">
        <v>2023</v>
      </c>
      <c r="B660">
        <v>10</v>
      </c>
      <c r="C660">
        <v>20</v>
      </c>
      <c r="D660" s="1">
        <v>840</v>
      </c>
      <c r="E660" s="10">
        <v>45190</v>
      </c>
      <c r="F660" s="11" t="s">
        <v>21</v>
      </c>
      <c r="G660" s="12">
        <v>-1030.17</v>
      </c>
    </row>
    <row r="661" spans="1:7">
      <c r="A661">
        <v>2023</v>
      </c>
      <c r="B661">
        <v>10</v>
      </c>
      <c r="C661">
        <v>21</v>
      </c>
      <c r="D661" s="1">
        <v>810</v>
      </c>
      <c r="E661" s="10">
        <v>45191</v>
      </c>
      <c r="F661" s="11" t="s">
        <v>21</v>
      </c>
      <c r="G661" s="12">
        <v>-737.07</v>
      </c>
    </row>
    <row r="662" spans="1:7">
      <c r="A662">
        <v>2023</v>
      </c>
      <c r="B662">
        <v>10</v>
      </c>
      <c r="C662">
        <v>22</v>
      </c>
      <c r="D662" s="1">
        <v>540</v>
      </c>
      <c r="E662" s="10">
        <v>45193</v>
      </c>
      <c r="F662" s="11" t="s">
        <v>21</v>
      </c>
      <c r="G662" s="12">
        <v>-1202.59</v>
      </c>
    </row>
    <row r="663" spans="1:7">
      <c r="A663">
        <v>2023</v>
      </c>
      <c r="B663">
        <v>10</v>
      </c>
      <c r="C663">
        <v>23</v>
      </c>
      <c r="D663" s="1">
        <v>315</v>
      </c>
      <c r="E663" s="10">
        <v>45194</v>
      </c>
      <c r="F663" s="11" t="s">
        <v>21</v>
      </c>
      <c r="G663" s="12">
        <v>-1073.28</v>
      </c>
    </row>
    <row r="664" spans="1:7">
      <c r="A664">
        <v>2023</v>
      </c>
      <c r="B664">
        <v>10</v>
      </c>
      <c r="C664">
        <v>24</v>
      </c>
      <c r="D664" s="1">
        <v>450</v>
      </c>
      <c r="E664" s="10">
        <v>45195</v>
      </c>
      <c r="F664" s="11" t="s">
        <v>21</v>
      </c>
      <c r="G664" s="12">
        <v>-1396.55</v>
      </c>
    </row>
    <row r="665" spans="1:7">
      <c r="A665">
        <v>2023</v>
      </c>
      <c r="B665">
        <v>10</v>
      </c>
      <c r="C665">
        <v>25</v>
      </c>
      <c r="D665" s="1">
        <v>90</v>
      </c>
      <c r="E665" s="10">
        <v>45196</v>
      </c>
      <c r="F665" s="11" t="s">
        <v>21</v>
      </c>
      <c r="G665" s="12">
        <v>-1137.93</v>
      </c>
    </row>
    <row r="666" spans="1:7">
      <c r="A666">
        <v>2023</v>
      </c>
      <c r="B666">
        <v>10</v>
      </c>
      <c r="C666">
        <v>26</v>
      </c>
      <c r="D666" s="1">
        <v>255</v>
      </c>
      <c r="E666" s="10">
        <v>45197</v>
      </c>
      <c r="F666" s="11" t="s">
        <v>21</v>
      </c>
      <c r="G666" s="12">
        <v>-900.86</v>
      </c>
    </row>
    <row r="667" spans="1:7">
      <c r="A667">
        <v>2023</v>
      </c>
      <c r="B667">
        <v>10</v>
      </c>
      <c r="C667">
        <v>27</v>
      </c>
      <c r="D667" s="1">
        <v>480</v>
      </c>
      <c r="E667" s="10">
        <v>45198</v>
      </c>
      <c r="F667" s="11" t="s">
        <v>21</v>
      </c>
      <c r="G667" s="12">
        <v>-1086.21</v>
      </c>
    </row>
    <row r="668" spans="1:7">
      <c r="A668">
        <v>2023</v>
      </c>
      <c r="B668">
        <v>10</v>
      </c>
      <c r="C668">
        <v>28</v>
      </c>
      <c r="D668" s="1">
        <v>225</v>
      </c>
      <c r="E668" s="10">
        <v>45199</v>
      </c>
      <c r="F668" s="11" t="s">
        <v>21</v>
      </c>
      <c r="G668" s="12">
        <v>-2262.93</v>
      </c>
    </row>
    <row r="669" spans="1:7">
      <c r="A669">
        <v>2023</v>
      </c>
      <c r="B669">
        <v>10</v>
      </c>
      <c r="C669">
        <v>29</v>
      </c>
      <c r="D669" s="1">
        <v>135</v>
      </c>
      <c r="E669" s="10">
        <v>45200</v>
      </c>
      <c r="F669" s="11" t="s">
        <v>21</v>
      </c>
      <c r="G669" s="12">
        <v>-883.62</v>
      </c>
    </row>
    <row r="670" spans="1:7">
      <c r="A670">
        <v>2023</v>
      </c>
      <c r="B670">
        <v>10</v>
      </c>
      <c r="C670">
        <v>30</v>
      </c>
      <c r="D670" s="1">
        <v>750</v>
      </c>
      <c r="E670" s="10">
        <v>45201</v>
      </c>
      <c r="F670" s="11" t="s">
        <v>21</v>
      </c>
      <c r="G670" s="12">
        <v>-1021.55</v>
      </c>
    </row>
    <row r="671" spans="1:7">
      <c r="A671">
        <v>2023</v>
      </c>
      <c r="B671">
        <v>10</v>
      </c>
      <c r="C671">
        <v>31</v>
      </c>
      <c r="D671" s="1">
        <v>240</v>
      </c>
      <c r="E671" s="10">
        <v>45202</v>
      </c>
      <c r="F671" s="11" t="s">
        <v>21</v>
      </c>
      <c r="G671" s="12">
        <v>-741.38</v>
      </c>
    </row>
    <row r="672" spans="1:7">
      <c r="A672">
        <v>2023</v>
      </c>
      <c r="B672">
        <v>11</v>
      </c>
      <c r="C672">
        <v>1</v>
      </c>
      <c r="D672" s="1">
        <v>30</v>
      </c>
      <c r="E672" s="10">
        <v>45203</v>
      </c>
      <c r="F672" s="11" t="s">
        <v>21</v>
      </c>
      <c r="G672" s="12">
        <v>-1112.07</v>
      </c>
    </row>
    <row r="673" spans="1:7">
      <c r="A673">
        <v>2023</v>
      </c>
      <c r="B673">
        <v>11</v>
      </c>
      <c r="C673">
        <v>2</v>
      </c>
      <c r="D673" s="1">
        <v>225</v>
      </c>
      <c r="E673" s="10">
        <v>45205</v>
      </c>
      <c r="F673" s="11" t="s">
        <v>21</v>
      </c>
      <c r="G673" s="12">
        <v>-1086.21</v>
      </c>
    </row>
    <row r="674" spans="1:7">
      <c r="A674">
        <v>2023</v>
      </c>
      <c r="B674">
        <v>11</v>
      </c>
      <c r="C674">
        <v>3</v>
      </c>
      <c r="D674" s="1">
        <v>195</v>
      </c>
      <c r="E674" s="10">
        <v>45206</v>
      </c>
      <c r="F674" s="11" t="s">
        <v>21</v>
      </c>
      <c r="G674" s="12">
        <v>-1331.9</v>
      </c>
    </row>
    <row r="675" spans="1:7">
      <c r="A675">
        <v>2023</v>
      </c>
      <c r="B675">
        <v>11</v>
      </c>
      <c r="C675">
        <v>4</v>
      </c>
      <c r="D675" s="1">
        <v>75</v>
      </c>
      <c r="E675" s="10">
        <v>45207</v>
      </c>
      <c r="F675" s="11" t="s">
        <v>21</v>
      </c>
      <c r="G675" s="12">
        <v>-724.14</v>
      </c>
    </row>
    <row r="676" spans="1:7">
      <c r="A676">
        <v>2023</v>
      </c>
      <c r="B676">
        <v>11</v>
      </c>
      <c r="C676">
        <v>5</v>
      </c>
      <c r="D676" s="1">
        <v>270</v>
      </c>
      <c r="E676" s="10">
        <v>45208</v>
      </c>
      <c r="F676" s="11" t="s">
        <v>21</v>
      </c>
      <c r="G676" s="12">
        <v>-1482.76</v>
      </c>
    </row>
    <row r="677" spans="1:7">
      <c r="A677">
        <v>2023</v>
      </c>
      <c r="B677">
        <v>11</v>
      </c>
      <c r="C677">
        <v>6</v>
      </c>
      <c r="D677" s="1">
        <v>0</v>
      </c>
      <c r="E677" s="10">
        <v>45209</v>
      </c>
      <c r="F677" s="11" t="s">
        <v>21</v>
      </c>
      <c r="G677" s="12">
        <v>-1836.21</v>
      </c>
    </row>
    <row r="678" spans="1:7">
      <c r="A678">
        <v>2023</v>
      </c>
      <c r="B678">
        <v>11</v>
      </c>
      <c r="C678">
        <v>7</v>
      </c>
      <c r="D678" s="1">
        <v>315</v>
      </c>
      <c r="E678" s="10">
        <v>45210</v>
      </c>
      <c r="F678" s="11" t="s">
        <v>21</v>
      </c>
      <c r="G678" s="12">
        <v>-1926.72</v>
      </c>
    </row>
    <row r="679" spans="1:7">
      <c r="A679">
        <v>2023</v>
      </c>
      <c r="B679">
        <v>11</v>
      </c>
      <c r="C679">
        <v>8</v>
      </c>
      <c r="D679" s="1">
        <v>180</v>
      </c>
      <c r="E679" s="10">
        <v>45211</v>
      </c>
      <c r="F679" s="11" t="s">
        <v>21</v>
      </c>
      <c r="G679" s="12">
        <v>-1362.07</v>
      </c>
    </row>
    <row r="680" spans="1:7">
      <c r="A680">
        <v>2023</v>
      </c>
      <c r="B680">
        <v>11</v>
      </c>
      <c r="C680">
        <v>9</v>
      </c>
      <c r="D680" s="1">
        <v>465</v>
      </c>
      <c r="E680" s="10">
        <v>45212</v>
      </c>
      <c r="F680" s="11" t="s">
        <v>21</v>
      </c>
      <c r="G680" s="12">
        <v>-1310.34</v>
      </c>
    </row>
    <row r="681" spans="1:7">
      <c r="A681">
        <v>2023</v>
      </c>
      <c r="B681">
        <v>11</v>
      </c>
      <c r="C681">
        <v>10</v>
      </c>
      <c r="D681" s="1">
        <v>450</v>
      </c>
      <c r="E681" s="10">
        <v>45213</v>
      </c>
      <c r="F681" s="11" t="s">
        <v>21</v>
      </c>
      <c r="G681" s="12">
        <v>-1965.52</v>
      </c>
    </row>
    <row r="682" spans="1:7">
      <c r="A682">
        <v>2023</v>
      </c>
      <c r="B682">
        <v>11</v>
      </c>
      <c r="C682">
        <v>11</v>
      </c>
      <c r="D682" s="1">
        <v>255</v>
      </c>
      <c r="E682" s="10">
        <v>45214</v>
      </c>
      <c r="F682" s="11" t="s">
        <v>21</v>
      </c>
      <c r="G682" s="12">
        <v>-931.03</v>
      </c>
    </row>
    <row r="683" spans="1:7">
      <c r="A683">
        <v>2023</v>
      </c>
      <c r="B683">
        <v>11</v>
      </c>
      <c r="C683">
        <v>12</v>
      </c>
      <c r="D683" s="1">
        <v>360</v>
      </c>
      <c r="E683" s="10">
        <v>45215</v>
      </c>
      <c r="F683" s="11" t="s">
        <v>21</v>
      </c>
      <c r="G683" s="12">
        <v>-982.76</v>
      </c>
    </row>
    <row r="684" spans="1:7">
      <c r="A684">
        <v>2023</v>
      </c>
      <c r="B684">
        <v>11</v>
      </c>
      <c r="C684">
        <v>13</v>
      </c>
      <c r="D684" s="1">
        <v>1050</v>
      </c>
      <c r="E684" s="10">
        <v>45217</v>
      </c>
      <c r="F684" s="11" t="s">
        <v>21</v>
      </c>
      <c r="G684" s="12">
        <v>-2750</v>
      </c>
    </row>
    <row r="685" spans="1:7">
      <c r="A685">
        <v>2023</v>
      </c>
      <c r="B685">
        <v>11</v>
      </c>
      <c r="C685">
        <v>14</v>
      </c>
      <c r="D685" s="1">
        <v>870</v>
      </c>
      <c r="E685" s="10">
        <v>45218</v>
      </c>
      <c r="F685" s="11" t="s">
        <v>21</v>
      </c>
      <c r="G685" s="12">
        <v>-1961.21</v>
      </c>
    </row>
    <row r="686" spans="1:7">
      <c r="A686">
        <v>2023</v>
      </c>
      <c r="B686">
        <v>11</v>
      </c>
      <c r="C686">
        <v>15</v>
      </c>
      <c r="D686" s="1">
        <v>330</v>
      </c>
      <c r="E686" s="10">
        <v>45219</v>
      </c>
      <c r="F686" s="11" t="s">
        <v>21</v>
      </c>
      <c r="G686" s="12">
        <v>-1116.38</v>
      </c>
    </row>
    <row r="687" spans="1:7">
      <c r="A687">
        <v>2023</v>
      </c>
      <c r="B687">
        <v>11</v>
      </c>
      <c r="C687">
        <v>16</v>
      </c>
      <c r="D687" s="1">
        <v>645</v>
      </c>
      <c r="E687" s="10">
        <v>45220</v>
      </c>
      <c r="F687" s="11" t="s">
        <v>21</v>
      </c>
      <c r="G687" s="12">
        <v>-3844.83</v>
      </c>
    </row>
    <row r="688" spans="1:7">
      <c r="A688">
        <v>2023</v>
      </c>
      <c r="B688">
        <v>11</v>
      </c>
      <c r="C688">
        <v>17</v>
      </c>
      <c r="D688" s="1">
        <v>510</v>
      </c>
      <c r="E688" s="10">
        <v>45221</v>
      </c>
      <c r="F688" s="11" t="s">
        <v>21</v>
      </c>
      <c r="G688" s="12">
        <v>-685.34</v>
      </c>
    </row>
    <row r="689" spans="1:7">
      <c r="A689">
        <v>2023</v>
      </c>
      <c r="B689">
        <v>11</v>
      </c>
      <c r="C689">
        <v>18</v>
      </c>
      <c r="D689" s="1">
        <v>450</v>
      </c>
      <c r="E689" s="10">
        <v>45222</v>
      </c>
      <c r="F689" s="11" t="s">
        <v>21</v>
      </c>
      <c r="G689" s="12">
        <v>-1267.24</v>
      </c>
    </row>
    <row r="690" spans="1:7">
      <c r="A690">
        <v>2023</v>
      </c>
      <c r="B690">
        <v>11</v>
      </c>
      <c r="C690">
        <v>19</v>
      </c>
      <c r="D690" s="1">
        <v>120</v>
      </c>
      <c r="E690" s="10">
        <v>45223</v>
      </c>
      <c r="F690" s="11" t="s">
        <v>21</v>
      </c>
      <c r="G690" s="12">
        <v>-1202.59</v>
      </c>
    </row>
    <row r="691" spans="1:7">
      <c r="A691">
        <v>2023</v>
      </c>
      <c r="B691">
        <v>11</v>
      </c>
      <c r="C691">
        <v>20</v>
      </c>
      <c r="D691" s="1">
        <v>1005</v>
      </c>
      <c r="E691" s="10">
        <v>45224</v>
      </c>
      <c r="F691" s="11" t="s">
        <v>21</v>
      </c>
      <c r="G691" s="12">
        <v>-1655.17</v>
      </c>
    </row>
    <row r="692" spans="1:7">
      <c r="A692">
        <v>2023</v>
      </c>
      <c r="B692">
        <v>11</v>
      </c>
      <c r="C692">
        <v>21</v>
      </c>
      <c r="D692" s="1">
        <v>150</v>
      </c>
      <c r="E692" s="10">
        <v>45225</v>
      </c>
      <c r="F692" s="11" t="s">
        <v>21</v>
      </c>
      <c r="G692" s="12">
        <v>-1008.62</v>
      </c>
    </row>
    <row r="693" spans="1:7">
      <c r="A693">
        <v>2023</v>
      </c>
      <c r="B693">
        <v>11</v>
      </c>
      <c r="C693">
        <v>22</v>
      </c>
      <c r="D693" s="1">
        <v>765</v>
      </c>
      <c r="E693" s="10">
        <v>45226</v>
      </c>
      <c r="F693" s="11" t="s">
        <v>21</v>
      </c>
      <c r="G693" s="12">
        <v>-2185.34</v>
      </c>
    </row>
    <row r="694" spans="1:7">
      <c r="A694">
        <v>2023</v>
      </c>
      <c r="B694">
        <v>11</v>
      </c>
      <c r="C694">
        <v>23</v>
      </c>
      <c r="D694" s="1">
        <v>1020</v>
      </c>
      <c r="E694" s="10">
        <v>45227</v>
      </c>
      <c r="F694" s="11" t="s">
        <v>21</v>
      </c>
      <c r="G694" s="12">
        <v>-1232.76</v>
      </c>
    </row>
    <row r="695" spans="1:7">
      <c r="A695">
        <v>2023</v>
      </c>
      <c r="B695">
        <v>11</v>
      </c>
      <c r="C695">
        <v>24</v>
      </c>
      <c r="D695" s="1">
        <v>1590</v>
      </c>
      <c r="E695" s="10">
        <v>45228</v>
      </c>
      <c r="F695" s="11" t="s">
        <v>21</v>
      </c>
      <c r="G695" s="12">
        <v>-594.83</v>
      </c>
    </row>
    <row r="696" spans="1:7">
      <c r="A696">
        <v>2023</v>
      </c>
      <c r="B696">
        <v>11</v>
      </c>
      <c r="C696">
        <v>25</v>
      </c>
      <c r="D696" s="1">
        <v>750</v>
      </c>
      <c r="E696" s="10">
        <v>45229</v>
      </c>
      <c r="F696" s="11" t="s">
        <v>21</v>
      </c>
      <c r="G696" s="12">
        <v>-1732.76</v>
      </c>
    </row>
    <row r="697" spans="1:7">
      <c r="A697">
        <v>2023</v>
      </c>
      <c r="B697">
        <v>11</v>
      </c>
      <c r="C697">
        <v>26</v>
      </c>
      <c r="D697" s="1">
        <v>615</v>
      </c>
      <c r="E697" s="10">
        <v>45230</v>
      </c>
      <c r="F697" s="11" t="s">
        <v>21</v>
      </c>
      <c r="G697" s="12">
        <v>-1650.86</v>
      </c>
    </row>
    <row r="698" spans="1:7">
      <c r="A698">
        <v>2023</v>
      </c>
      <c r="B698">
        <v>11</v>
      </c>
      <c r="C698">
        <v>27</v>
      </c>
      <c r="D698" s="1">
        <v>270</v>
      </c>
      <c r="E698" s="10">
        <v>45232</v>
      </c>
      <c r="F698" s="11" t="s">
        <v>21</v>
      </c>
      <c r="G698" s="12">
        <v>-1331.9</v>
      </c>
    </row>
    <row r="699" spans="1:7">
      <c r="A699">
        <v>2023</v>
      </c>
      <c r="B699">
        <v>11</v>
      </c>
      <c r="C699">
        <v>28</v>
      </c>
      <c r="D699" s="1">
        <v>105</v>
      </c>
      <c r="E699" s="10">
        <v>45233</v>
      </c>
      <c r="F699" s="11" t="s">
        <v>21</v>
      </c>
      <c r="G699" s="12">
        <v>-1228.45</v>
      </c>
    </row>
    <row r="700" spans="1:7">
      <c r="A700">
        <v>2023</v>
      </c>
      <c r="B700">
        <v>11</v>
      </c>
      <c r="C700">
        <v>29</v>
      </c>
      <c r="D700" s="1">
        <v>360</v>
      </c>
      <c r="E700" s="10">
        <v>45234</v>
      </c>
      <c r="F700" s="11" t="s">
        <v>21</v>
      </c>
      <c r="G700" s="12">
        <v>-1564.66</v>
      </c>
    </row>
    <row r="701" spans="1:7">
      <c r="A701">
        <v>2023</v>
      </c>
      <c r="B701">
        <v>11</v>
      </c>
      <c r="C701">
        <v>30</v>
      </c>
      <c r="D701" s="1">
        <v>375</v>
      </c>
      <c r="E701" s="10">
        <v>45235</v>
      </c>
      <c r="F701" s="11" t="s">
        <v>21</v>
      </c>
      <c r="G701" s="12">
        <v>-517.24</v>
      </c>
    </row>
    <row r="702" spans="1:7">
      <c r="A702">
        <v>2023</v>
      </c>
      <c r="B702">
        <v>12</v>
      </c>
      <c r="C702">
        <v>1</v>
      </c>
      <c r="D702" s="1">
        <v>150</v>
      </c>
      <c r="E702" s="10">
        <v>45236</v>
      </c>
      <c r="F702" s="11" t="s">
        <v>21</v>
      </c>
      <c r="G702" s="12">
        <v>-2353.45</v>
      </c>
    </row>
    <row r="703" spans="1:7">
      <c r="A703">
        <v>2023</v>
      </c>
      <c r="B703">
        <v>12</v>
      </c>
      <c r="C703">
        <v>2</v>
      </c>
      <c r="D703" s="1">
        <v>420</v>
      </c>
      <c r="E703" s="10">
        <v>45237</v>
      </c>
      <c r="F703" s="11" t="s">
        <v>21</v>
      </c>
      <c r="G703" s="12">
        <v>-1517.24</v>
      </c>
    </row>
    <row r="704" spans="1:7">
      <c r="A704">
        <v>2023</v>
      </c>
      <c r="B704">
        <v>12</v>
      </c>
      <c r="C704">
        <v>3</v>
      </c>
      <c r="D704" s="1">
        <v>240</v>
      </c>
      <c r="E704" s="10">
        <v>45238</v>
      </c>
      <c r="F704" s="11" t="s">
        <v>21</v>
      </c>
      <c r="G704" s="12">
        <v>-1025.86</v>
      </c>
    </row>
    <row r="705" spans="1:7">
      <c r="A705">
        <v>2023</v>
      </c>
      <c r="B705">
        <v>12</v>
      </c>
      <c r="C705">
        <v>4</v>
      </c>
      <c r="D705" s="1">
        <v>390</v>
      </c>
      <c r="E705" s="10">
        <v>45239</v>
      </c>
      <c r="F705" s="11" t="s">
        <v>21</v>
      </c>
      <c r="G705" s="12">
        <v>-1435.34</v>
      </c>
    </row>
    <row r="706" spans="1:7">
      <c r="A706">
        <v>2023</v>
      </c>
      <c r="B706">
        <v>12</v>
      </c>
      <c r="C706">
        <v>5</v>
      </c>
      <c r="D706" s="1">
        <v>690</v>
      </c>
      <c r="E706" s="10">
        <v>45240</v>
      </c>
      <c r="F706" s="11" t="s">
        <v>21</v>
      </c>
      <c r="G706" s="12">
        <v>-974.14</v>
      </c>
    </row>
    <row r="707" spans="1:7">
      <c r="A707">
        <v>2023</v>
      </c>
      <c r="B707">
        <v>12</v>
      </c>
      <c r="C707">
        <v>6</v>
      </c>
      <c r="D707" s="1">
        <v>360</v>
      </c>
      <c r="E707" s="10">
        <v>45241</v>
      </c>
      <c r="F707" s="11" t="s">
        <v>21</v>
      </c>
      <c r="G707" s="12">
        <v>-2146.55</v>
      </c>
    </row>
    <row r="708" spans="1:7">
      <c r="A708">
        <v>2023</v>
      </c>
      <c r="B708">
        <v>12</v>
      </c>
      <c r="C708">
        <v>7</v>
      </c>
      <c r="D708" s="1">
        <v>285</v>
      </c>
      <c r="E708" s="10">
        <v>45242</v>
      </c>
      <c r="F708" s="11" t="s">
        <v>21</v>
      </c>
      <c r="G708" s="12">
        <v>-1189.66</v>
      </c>
    </row>
    <row r="709" spans="1:7">
      <c r="A709">
        <v>2023</v>
      </c>
      <c r="B709">
        <v>12</v>
      </c>
      <c r="C709">
        <v>8</v>
      </c>
      <c r="D709" s="1">
        <v>255</v>
      </c>
      <c r="E709" s="10">
        <v>45243</v>
      </c>
      <c r="F709" s="11" t="s">
        <v>21</v>
      </c>
      <c r="G709" s="12">
        <v>-1487.07</v>
      </c>
    </row>
    <row r="710" spans="1:7">
      <c r="A710">
        <v>2023</v>
      </c>
      <c r="B710">
        <v>12</v>
      </c>
      <c r="C710">
        <v>9</v>
      </c>
      <c r="D710" s="1">
        <v>90</v>
      </c>
      <c r="E710" s="10">
        <v>45245</v>
      </c>
      <c r="F710" s="11" t="s">
        <v>21</v>
      </c>
      <c r="G710" s="12">
        <v>-1784.48</v>
      </c>
    </row>
    <row r="711" spans="1:7">
      <c r="A711">
        <v>2023</v>
      </c>
      <c r="B711">
        <v>12</v>
      </c>
      <c r="C711">
        <v>10</v>
      </c>
      <c r="D711" s="1">
        <v>45</v>
      </c>
      <c r="E711" s="10">
        <v>45246</v>
      </c>
      <c r="F711" s="11" t="s">
        <v>21</v>
      </c>
      <c r="G711" s="12">
        <v>-1982.76</v>
      </c>
    </row>
    <row r="712" spans="1:7">
      <c r="A712">
        <v>2023</v>
      </c>
      <c r="B712">
        <v>12</v>
      </c>
      <c r="C712">
        <v>11</v>
      </c>
      <c r="D712" s="1">
        <v>270</v>
      </c>
      <c r="E712" s="10">
        <v>45247</v>
      </c>
      <c r="F712" s="11" t="s">
        <v>21</v>
      </c>
      <c r="G712" s="12">
        <v>-2038.79</v>
      </c>
    </row>
    <row r="713" spans="1:7">
      <c r="A713">
        <v>2023</v>
      </c>
      <c r="B713">
        <v>12</v>
      </c>
      <c r="C713">
        <v>12</v>
      </c>
      <c r="D713" s="1">
        <v>135</v>
      </c>
      <c r="E713" s="10">
        <v>45248</v>
      </c>
      <c r="F713" s="11" t="s">
        <v>21</v>
      </c>
      <c r="G713" s="12">
        <v>-1849.14</v>
      </c>
    </row>
    <row r="714" spans="1:7">
      <c r="A714">
        <v>2023</v>
      </c>
      <c r="B714">
        <v>12</v>
      </c>
      <c r="C714">
        <v>13</v>
      </c>
      <c r="D714" s="1">
        <v>195</v>
      </c>
      <c r="E714" s="10">
        <v>45249</v>
      </c>
      <c r="F714" s="11" t="s">
        <v>21</v>
      </c>
      <c r="G714" s="12">
        <v>-594.83</v>
      </c>
    </row>
    <row r="715" spans="1:7">
      <c r="A715">
        <v>2023</v>
      </c>
      <c r="B715">
        <v>12</v>
      </c>
      <c r="C715">
        <v>19</v>
      </c>
      <c r="D715" s="1">
        <v>0</v>
      </c>
      <c r="E715" s="10">
        <v>45250</v>
      </c>
      <c r="F715" s="11" t="s">
        <v>21</v>
      </c>
      <c r="G715" s="12">
        <v>-2327.59</v>
      </c>
    </row>
    <row r="716" spans="1:7">
      <c r="A716">
        <v>2023</v>
      </c>
      <c r="B716">
        <v>12</v>
      </c>
      <c r="C716">
        <v>20</v>
      </c>
      <c r="D716" s="1">
        <v>960</v>
      </c>
      <c r="E716" s="10">
        <v>45251</v>
      </c>
      <c r="F716" s="11" t="s">
        <v>21</v>
      </c>
      <c r="G716" s="12">
        <v>-892.24</v>
      </c>
    </row>
    <row r="717" spans="1:7">
      <c r="A717">
        <v>2023</v>
      </c>
      <c r="B717">
        <v>12</v>
      </c>
      <c r="C717">
        <v>22</v>
      </c>
      <c r="D717" s="1">
        <v>330</v>
      </c>
      <c r="E717" s="10">
        <v>45252</v>
      </c>
      <c r="F717" s="11" t="s">
        <v>21</v>
      </c>
      <c r="G717" s="12">
        <v>-995.69</v>
      </c>
    </row>
    <row r="718" spans="1:7">
      <c r="A718">
        <v>2023</v>
      </c>
      <c r="B718">
        <v>12</v>
      </c>
      <c r="C718">
        <v>23</v>
      </c>
      <c r="D718" s="1">
        <v>195</v>
      </c>
      <c r="E718" s="10">
        <v>45253</v>
      </c>
      <c r="F718" s="11" t="s">
        <v>21</v>
      </c>
      <c r="G718" s="12">
        <v>-1215.52</v>
      </c>
    </row>
    <row r="719" spans="1:7">
      <c r="A719">
        <v>2023</v>
      </c>
      <c r="B719">
        <v>12</v>
      </c>
      <c r="C719">
        <v>26</v>
      </c>
      <c r="D719" s="1">
        <v>0</v>
      </c>
      <c r="E719" s="10">
        <v>45254</v>
      </c>
      <c r="F719" s="11" t="s">
        <v>21</v>
      </c>
      <c r="G719" s="12">
        <v>-956.9</v>
      </c>
    </row>
    <row r="720" spans="1:7">
      <c r="A720">
        <v>2023</v>
      </c>
      <c r="B720">
        <v>12</v>
      </c>
      <c r="C720">
        <v>28</v>
      </c>
      <c r="D720" s="1">
        <v>270</v>
      </c>
      <c r="E720" s="10">
        <v>45255</v>
      </c>
      <c r="F720" s="11" t="s">
        <v>21</v>
      </c>
      <c r="G720" s="12">
        <v>-3926.72</v>
      </c>
    </row>
    <row r="721" spans="1:7">
      <c r="A721">
        <v>2023</v>
      </c>
      <c r="B721">
        <v>12</v>
      </c>
      <c r="C721">
        <v>29</v>
      </c>
      <c r="D721" s="1">
        <v>300</v>
      </c>
      <c r="E721" s="10">
        <v>45256</v>
      </c>
      <c r="F721" s="11" t="s">
        <v>21</v>
      </c>
      <c r="G721" s="12">
        <v>-1758.62</v>
      </c>
    </row>
    <row r="722" spans="1:7">
      <c r="A722">
        <v>2024</v>
      </c>
      <c r="B722">
        <v>1</v>
      </c>
      <c r="C722">
        <v>3</v>
      </c>
      <c r="D722" s="1">
        <v>165</v>
      </c>
      <c r="E722" s="10">
        <v>45257</v>
      </c>
      <c r="F722" s="11" t="s">
        <v>21</v>
      </c>
      <c r="G722" s="12">
        <v>-1474.14</v>
      </c>
    </row>
    <row r="723" spans="1:7">
      <c r="A723">
        <v>2024</v>
      </c>
      <c r="B723">
        <v>1</v>
      </c>
      <c r="C723">
        <v>4</v>
      </c>
      <c r="D723" s="1">
        <v>240</v>
      </c>
      <c r="E723" s="10">
        <v>45258</v>
      </c>
      <c r="F723" s="11" t="s">
        <v>21</v>
      </c>
      <c r="G723" s="12">
        <v>-1978.45</v>
      </c>
    </row>
    <row r="724" spans="1:7">
      <c r="A724">
        <v>2024</v>
      </c>
      <c r="B724">
        <v>1</v>
      </c>
      <c r="C724">
        <v>5</v>
      </c>
      <c r="D724" s="1">
        <v>90</v>
      </c>
      <c r="E724" s="10">
        <v>45259</v>
      </c>
      <c r="F724" s="11" t="s">
        <v>21</v>
      </c>
      <c r="G724" s="12">
        <v>-3081.9</v>
      </c>
    </row>
    <row r="725" spans="1:7">
      <c r="A725">
        <v>2024</v>
      </c>
      <c r="B725">
        <v>1</v>
      </c>
      <c r="C725">
        <v>9</v>
      </c>
      <c r="D725" s="1">
        <v>495</v>
      </c>
      <c r="E725" s="10">
        <v>45261</v>
      </c>
      <c r="F725" s="11" t="s">
        <v>21</v>
      </c>
      <c r="G725" s="12">
        <v>-2137.93</v>
      </c>
    </row>
    <row r="726" spans="1:7">
      <c r="A726">
        <v>2024</v>
      </c>
      <c r="B726">
        <v>1</v>
      </c>
      <c r="C726">
        <v>10</v>
      </c>
      <c r="D726" s="1">
        <v>780</v>
      </c>
      <c r="E726" s="10">
        <v>45262</v>
      </c>
      <c r="F726" s="11" t="s">
        <v>21</v>
      </c>
      <c r="G726" s="12">
        <v>-1668.1</v>
      </c>
    </row>
    <row r="727" spans="1:7">
      <c r="A727">
        <v>2024</v>
      </c>
      <c r="B727">
        <v>1</v>
      </c>
      <c r="C727">
        <v>11</v>
      </c>
      <c r="D727" s="1">
        <v>45</v>
      </c>
      <c r="E727" s="10">
        <v>45263</v>
      </c>
      <c r="F727" s="11" t="s">
        <v>21</v>
      </c>
      <c r="G727" s="12">
        <v>-1642.24</v>
      </c>
    </row>
    <row r="728" spans="1:7">
      <c r="A728">
        <v>2024</v>
      </c>
      <c r="B728">
        <v>1</v>
      </c>
      <c r="C728">
        <v>12</v>
      </c>
      <c r="D728" s="1">
        <v>255</v>
      </c>
      <c r="E728" s="10">
        <v>45264</v>
      </c>
      <c r="F728" s="11" t="s">
        <v>21</v>
      </c>
      <c r="G728" s="12">
        <v>-2004.31</v>
      </c>
    </row>
    <row r="729" spans="1:7">
      <c r="A729">
        <v>2024</v>
      </c>
      <c r="B729">
        <v>1</v>
      </c>
      <c r="C729">
        <v>13</v>
      </c>
      <c r="D729" s="1">
        <v>0</v>
      </c>
      <c r="E729" s="10">
        <v>45265</v>
      </c>
      <c r="F729" s="11" t="s">
        <v>21</v>
      </c>
      <c r="G729" s="12">
        <v>-1564.66</v>
      </c>
    </row>
    <row r="730" spans="1:7">
      <c r="A730">
        <v>2024</v>
      </c>
      <c r="B730">
        <v>1</v>
      </c>
      <c r="C730">
        <v>14</v>
      </c>
      <c r="D730" s="1">
        <v>360</v>
      </c>
      <c r="E730" s="10">
        <v>45266</v>
      </c>
      <c r="F730" s="11" t="s">
        <v>21</v>
      </c>
      <c r="G730" s="12">
        <v>-1995.69</v>
      </c>
    </row>
    <row r="731" spans="1:7">
      <c r="A731">
        <v>2024</v>
      </c>
      <c r="B731">
        <v>1</v>
      </c>
      <c r="C731">
        <v>15</v>
      </c>
      <c r="D731" s="1">
        <v>555</v>
      </c>
      <c r="E731" s="10">
        <v>45267</v>
      </c>
      <c r="F731" s="11" t="s">
        <v>21</v>
      </c>
      <c r="G731" s="12">
        <v>-1913.79</v>
      </c>
    </row>
    <row r="732" spans="1:7">
      <c r="A732">
        <v>2024</v>
      </c>
      <c r="B732">
        <v>1</v>
      </c>
      <c r="C732">
        <v>16</v>
      </c>
      <c r="D732" s="1">
        <v>375</v>
      </c>
      <c r="E732" s="10">
        <v>45268</v>
      </c>
      <c r="F732" s="11" t="s">
        <v>21</v>
      </c>
      <c r="G732" s="12">
        <v>-1887.93</v>
      </c>
    </row>
    <row r="733" spans="1:7">
      <c r="A733">
        <v>2024</v>
      </c>
      <c r="B733">
        <v>1</v>
      </c>
      <c r="C733">
        <v>17</v>
      </c>
      <c r="D733" s="1">
        <v>135</v>
      </c>
      <c r="E733" s="10">
        <v>45269</v>
      </c>
      <c r="F733" s="11" t="s">
        <v>21</v>
      </c>
      <c r="G733" s="12">
        <v>-2689.66</v>
      </c>
    </row>
    <row r="734" spans="1:7">
      <c r="A734">
        <v>2024</v>
      </c>
      <c r="B734">
        <v>1</v>
      </c>
      <c r="C734">
        <v>18</v>
      </c>
      <c r="D734" s="1">
        <v>30</v>
      </c>
      <c r="E734" s="10">
        <v>45270</v>
      </c>
      <c r="F734" s="11" t="s">
        <v>21</v>
      </c>
      <c r="G734" s="12">
        <v>-1732.76</v>
      </c>
    </row>
    <row r="735" spans="1:7">
      <c r="A735">
        <v>2024</v>
      </c>
      <c r="B735">
        <v>1</v>
      </c>
      <c r="C735">
        <v>19</v>
      </c>
      <c r="D735" s="1">
        <v>45</v>
      </c>
      <c r="E735" s="10">
        <v>45271</v>
      </c>
      <c r="F735" s="11" t="s">
        <v>21</v>
      </c>
      <c r="G735" s="12">
        <v>-1439.66</v>
      </c>
    </row>
    <row r="736" spans="1:7">
      <c r="A736">
        <v>2024</v>
      </c>
      <c r="B736">
        <v>1</v>
      </c>
      <c r="C736">
        <v>20</v>
      </c>
      <c r="D736" s="1">
        <v>165</v>
      </c>
      <c r="E736" s="10">
        <v>45272</v>
      </c>
      <c r="F736" s="11" t="s">
        <v>21</v>
      </c>
      <c r="G736" s="12">
        <v>-814.66</v>
      </c>
    </row>
    <row r="737" spans="1:7">
      <c r="A737">
        <v>2024</v>
      </c>
      <c r="B737">
        <v>1</v>
      </c>
      <c r="C737">
        <v>21</v>
      </c>
      <c r="D737" s="1">
        <v>75</v>
      </c>
      <c r="E737" s="10">
        <v>45273</v>
      </c>
      <c r="F737" s="11" t="s">
        <v>21</v>
      </c>
      <c r="G737" s="12">
        <v>-1103.45</v>
      </c>
    </row>
    <row r="738" spans="1:7">
      <c r="A738">
        <v>2024</v>
      </c>
      <c r="B738">
        <v>1</v>
      </c>
      <c r="C738">
        <v>22</v>
      </c>
      <c r="D738" s="1">
        <v>240</v>
      </c>
      <c r="E738" s="10">
        <v>45274</v>
      </c>
      <c r="F738" s="11" t="s">
        <v>21</v>
      </c>
      <c r="G738" s="12">
        <v>-1426.72</v>
      </c>
    </row>
    <row r="739" spans="1:7">
      <c r="A739">
        <v>2024</v>
      </c>
      <c r="B739">
        <v>1</v>
      </c>
      <c r="C739">
        <v>23</v>
      </c>
      <c r="D739" s="1">
        <v>270</v>
      </c>
      <c r="E739" s="10">
        <v>45275</v>
      </c>
      <c r="F739" s="11" t="s">
        <v>21</v>
      </c>
      <c r="G739" s="12">
        <v>-2616.38</v>
      </c>
    </row>
    <row r="740" spans="1:7">
      <c r="A740">
        <v>2024</v>
      </c>
      <c r="B740">
        <v>1</v>
      </c>
      <c r="C740">
        <v>24</v>
      </c>
      <c r="D740" s="1">
        <v>60</v>
      </c>
      <c r="E740" s="10">
        <v>45276</v>
      </c>
      <c r="F740" s="11" t="s">
        <v>21</v>
      </c>
      <c r="G740" s="12">
        <v>-1849.14</v>
      </c>
    </row>
    <row r="741" spans="1:7">
      <c r="A741">
        <v>2024</v>
      </c>
      <c r="B741">
        <v>1</v>
      </c>
      <c r="C741">
        <v>25</v>
      </c>
      <c r="D741" s="1">
        <v>0</v>
      </c>
      <c r="E741" s="10">
        <v>45277</v>
      </c>
      <c r="F741" s="11" t="s">
        <v>21</v>
      </c>
      <c r="G741" s="12">
        <v>-1887.93</v>
      </c>
    </row>
    <row r="742" spans="1:7">
      <c r="A742">
        <v>2024</v>
      </c>
      <c r="B742">
        <v>1</v>
      </c>
      <c r="C742">
        <v>26</v>
      </c>
      <c r="D742" s="1">
        <v>60</v>
      </c>
      <c r="E742" s="10">
        <v>45278</v>
      </c>
      <c r="F742" s="11" t="s">
        <v>21</v>
      </c>
      <c r="G742" s="12">
        <v>-1965.52</v>
      </c>
    </row>
    <row r="743" spans="1:7">
      <c r="A743">
        <v>2024</v>
      </c>
      <c r="B743">
        <v>1</v>
      </c>
      <c r="C743">
        <v>27</v>
      </c>
      <c r="D743" s="1">
        <v>0</v>
      </c>
      <c r="E743" s="10">
        <v>45279</v>
      </c>
      <c r="F743" s="11" t="s">
        <v>21</v>
      </c>
      <c r="G743" s="12">
        <v>-4344.83</v>
      </c>
    </row>
    <row r="744" spans="1:7">
      <c r="A744">
        <v>2024</v>
      </c>
      <c r="B744">
        <v>1</v>
      </c>
      <c r="C744">
        <v>28</v>
      </c>
      <c r="D744" s="1">
        <v>300</v>
      </c>
      <c r="E744" s="10">
        <v>45280</v>
      </c>
      <c r="F744" s="11" t="s">
        <v>21</v>
      </c>
      <c r="G744" s="12">
        <v>-2556.03</v>
      </c>
    </row>
    <row r="745" spans="1:7">
      <c r="A745">
        <v>2024</v>
      </c>
      <c r="B745">
        <v>1</v>
      </c>
      <c r="C745">
        <v>29</v>
      </c>
      <c r="D745" s="1">
        <v>90</v>
      </c>
      <c r="E745" s="10">
        <v>45281</v>
      </c>
      <c r="F745" s="11" t="s">
        <v>21</v>
      </c>
      <c r="G745" s="12">
        <v>-2443.97</v>
      </c>
    </row>
    <row r="746" spans="1:7">
      <c r="A746">
        <v>2024</v>
      </c>
      <c r="B746">
        <v>1</v>
      </c>
      <c r="C746">
        <v>30</v>
      </c>
      <c r="D746" s="1">
        <v>525</v>
      </c>
      <c r="E746" s="10">
        <v>45282</v>
      </c>
      <c r="F746" s="11" t="s">
        <v>21</v>
      </c>
      <c r="G746" s="12">
        <v>-2159.48</v>
      </c>
    </row>
    <row r="747" spans="1:7">
      <c r="A747">
        <v>2024</v>
      </c>
      <c r="B747">
        <v>1</v>
      </c>
      <c r="C747">
        <v>31</v>
      </c>
      <c r="D747" s="1">
        <v>570</v>
      </c>
      <c r="E747" s="10">
        <v>45283</v>
      </c>
      <c r="F747" s="11" t="s">
        <v>21</v>
      </c>
      <c r="G747" s="12">
        <v>-2301.72</v>
      </c>
    </row>
    <row r="748" spans="1:7">
      <c r="A748">
        <v>2024</v>
      </c>
      <c r="B748">
        <v>2</v>
      </c>
      <c r="C748">
        <v>1</v>
      </c>
      <c r="D748" s="1">
        <v>225</v>
      </c>
      <c r="E748" s="10">
        <v>45284</v>
      </c>
      <c r="F748" s="11" t="s">
        <v>21</v>
      </c>
      <c r="G748" s="12">
        <v>-517.24</v>
      </c>
    </row>
    <row r="749" spans="1:7">
      <c r="A749">
        <v>2024</v>
      </c>
      <c r="B749">
        <v>2</v>
      </c>
      <c r="C749">
        <v>2</v>
      </c>
      <c r="D749" s="1">
        <v>300</v>
      </c>
      <c r="E749" s="10">
        <v>45285</v>
      </c>
      <c r="F749" s="11" t="s">
        <v>21</v>
      </c>
      <c r="G749" s="12">
        <v>-728.45</v>
      </c>
    </row>
    <row r="750" spans="1:7">
      <c r="A750">
        <v>2024</v>
      </c>
      <c r="B750">
        <v>2</v>
      </c>
      <c r="C750">
        <v>3</v>
      </c>
      <c r="D750" s="1">
        <v>330</v>
      </c>
      <c r="E750" s="10">
        <v>45286</v>
      </c>
      <c r="F750" s="11" t="s">
        <v>21</v>
      </c>
      <c r="G750" s="12">
        <v>-754.31</v>
      </c>
    </row>
    <row r="751" spans="1:7">
      <c r="A751">
        <v>2024</v>
      </c>
      <c r="B751">
        <v>2</v>
      </c>
      <c r="C751">
        <v>4</v>
      </c>
      <c r="D751" s="1">
        <v>345</v>
      </c>
      <c r="E751" s="10">
        <v>45287</v>
      </c>
      <c r="F751" s="11" t="s">
        <v>21</v>
      </c>
      <c r="G751" s="12">
        <v>-2857.76</v>
      </c>
    </row>
    <row r="752" spans="1:7">
      <c r="A752">
        <v>2024</v>
      </c>
      <c r="B752">
        <v>2</v>
      </c>
      <c r="C752">
        <v>5</v>
      </c>
      <c r="D752" s="1">
        <v>390</v>
      </c>
      <c r="E752" s="10">
        <v>45288</v>
      </c>
      <c r="F752" s="11" t="s">
        <v>21</v>
      </c>
      <c r="G752" s="12">
        <v>-892.24</v>
      </c>
    </row>
    <row r="753" spans="1:7">
      <c r="A753">
        <v>2024</v>
      </c>
      <c r="B753">
        <v>2</v>
      </c>
      <c r="C753">
        <v>6</v>
      </c>
      <c r="D753" s="1">
        <v>60</v>
      </c>
      <c r="E753" s="10">
        <v>45289</v>
      </c>
      <c r="F753" s="11" t="s">
        <v>21</v>
      </c>
      <c r="G753" s="12">
        <v>-1762.07</v>
      </c>
    </row>
    <row r="754" spans="1:7">
      <c r="A754">
        <v>2024</v>
      </c>
      <c r="B754">
        <v>2</v>
      </c>
      <c r="C754">
        <v>7</v>
      </c>
      <c r="D754" s="1">
        <v>135</v>
      </c>
      <c r="E754" s="10">
        <v>45290</v>
      </c>
      <c r="F754" s="11" t="s">
        <v>21</v>
      </c>
      <c r="G754" s="12">
        <v>-2185.34</v>
      </c>
    </row>
    <row r="755" spans="1:7">
      <c r="A755">
        <v>2024</v>
      </c>
      <c r="B755">
        <v>2</v>
      </c>
      <c r="C755">
        <v>8</v>
      </c>
      <c r="D755" s="1">
        <v>0</v>
      </c>
      <c r="E755" s="10">
        <v>45291</v>
      </c>
      <c r="F755" s="11" t="s">
        <v>21</v>
      </c>
      <c r="G755" s="12">
        <v>-482.76</v>
      </c>
    </row>
    <row r="756" spans="1:4">
      <c r="A756">
        <v>2024</v>
      </c>
      <c r="B756">
        <v>2</v>
      </c>
      <c r="C756">
        <v>9</v>
      </c>
      <c r="D756" s="1">
        <v>0</v>
      </c>
    </row>
    <row r="757" spans="1:4">
      <c r="A757">
        <v>2024</v>
      </c>
      <c r="B757">
        <v>2</v>
      </c>
      <c r="C757">
        <v>10</v>
      </c>
      <c r="D757" s="1">
        <v>45</v>
      </c>
    </row>
    <row r="758" spans="1:4">
      <c r="A758">
        <v>2024</v>
      </c>
      <c r="B758">
        <v>2</v>
      </c>
      <c r="C758">
        <v>13</v>
      </c>
      <c r="D758" s="1">
        <v>135</v>
      </c>
    </row>
    <row r="759" spans="1:4">
      <c r="A759">
        <v>2024</v>
      </c>
      <c r="B759">
        <v>2</v>
      </c>
      <c r="C759">
        <v>14</v>
      </c>
      <c r="D759" s="1">
        <v>285</v>
      </c>
    </row>
    <row r="760" spans="1:4">
      <c r="A760">
        <v>2024</v>
      </c>
      <c r="B760">
        <v>2</v>
      </c>
      <c r="C760">
        <v>16</v>
      </c>
      <c r="D760" s="1">
        <v>150</v>
      </c>
    </row>
    <row r="761" spans="1:4">
      <c r="A761">
        <v>2024</v>
      </c>
      <c r="B761">
        <v>2</v>
      </c>
      <c r="C761">
        <v>17</v>
      </c>
      <c r="D761" s="1">
        <v>15</v>
      </c>
    </row>
    <row r="762" spans="1:4">
      <c r="A762">
        <v>2024</v>
      </c>
      <c r="B762">
        <v>2</v>
      </c>
      <c r="C762">
        <v>18</v>
      </c>
      <c r="D762" s="1">
        <v>780</v>
      </c>
    </row>
    <row r="763" spans="1:4">
      <c r="A763">
        <v>2024</v>
      </c>
      <c r="B763">
        <v>2</v>
      </c>
      <c r="C763">
        <v>19</v>
      </c>
      <c r="D763" s="1">
        <v>0</v>
      </c>
    </row>
    <row r="764" spans="1:4">
      <c r="A764">
        <v>2024</v>
      </c>
      <c r="B764">
        <v>2</v>
      </c>
      <c r="C764">
        <v>20</v>
      </c>
      <c r="D764" s="1">
        <v>60</v>
      </c>
    </row>
    <row r="765" spans="1:4">
      <c r="A765">
        <v>2024</v>
      </c>
      <c r="B765">
        <v>2</v>
      </c>
      <c r="C765">
        <v>21</v>
      </c>
      <c r="D765" s="1">
        <v>0</v>
      </c>
    </row>
    <row r="766" spans="1:4">
      <c r="A766">
        <v>2024</v>
      </c>
      <c r="B766">
        <v>2</v>
      </c>
      <c r="C766">
        <v>22</v>
      </c>
      <c r="D766" s="1">
        <v>330</v>
      </c>
    </row>
    <row r="767" spans="1:4">
      <c r="A767">
        <v>2024</v>
      </c>
      <c r="B767">
        <v>2</v>
      </c>
      <c r="C767">
        <v>23</v>
      </c>
      <c r="D767" s="1">
        <v>75</v>
      </c>
    </row>
    <row r="768" spans="1:4">
      <c r="A768">
        <v>2024</v>
      </c>
      <c r="B768">
        <v>2</v>
      </c>
      <c r="C768">
        <v>29</v>
      </c>
      <c r="D768" s="1">
        <v>0</v>
      </c>
    </row>
    <row r="769" spans="1:4">
      <c r="A769">
        <v>2024</v>
      </c>
      <c r="B769">
        <v>3</v>
      </c>
      <c r="C769">
        <v>4</v>
      </c>
      <c r="D769" s="1">
        <v>0</v>
      </c>
    </row>
    <row r="770" spans="1:4">
      <c r="A770">
        <v>2024</v>
      </c>
      <c r="B770">
        <v>3</v>
      </c>
      <c r="C770">
        <v>5</v>
      </c>
      <c r="D770" s="1">
        <v>510</v>
      </c>
    </row>
    <row r="771" spans="1:4">
      <c r="A771">
        <v>2024</v>
      </c>
      <c r="B771">
        <v>3</v>
      </c>
      <c r="C771">
        <v>6</v>
      </c>
      <c r="D771" s="1">
        <v>0</v>
      </c>
    </row>
    <row r="772" spans="1:4">
      <c r="A772">
        <v>2024</v>
      </c>
      <c r="B772">
        <v>3</v>
      </c>
      <c r="C772">
        <v>8</v>
      </c>
      <c r="D772" s="1">
        <v>240</v>
      </c>
    </row>
    <row r="773" spans="1:4">
      <c r="A773">
        <v>2024</v>
      </c>
      <c r="B773">
        <v>3</v>
      </c>
      <c r="C773">
        <v>9</v>
      </c>
      <c r="D773" s="1">
        <v>195</v>
      </c>
    </row>
    <row r="774" spans="1:4">
      <c r="A774">
        <v>2024</v>
      </c>
      <c r="B774">
        <v>3</v>
      </c>
      <c r="C774">
        <v>11</v>
      </c>
      <c r="D774" s="1">
        <v>0</v>
      </c>
    </row>
    <row r="775" spans="1:4">
      <c r="A775">
        <v>2024</v>
      </c>
      <c r="B775">
        <v>3</v>
      </c>
      <c r="C775">
        <v>12</v>
      </c>
      <c r="D775" s="1">
        <v>465</v>
      </c>
    </row>
    <row r="776" spans="1:4">
      <c r="A776">
        <v>2024</v>
      </c>
      <c r="B776">
        <v>3</v>
      </c>
      <c r="C776">
        <v>13</v>
      </c>
      <c r="D776" s="1">
        <v>45</v>
      </c>
    </row>
    <row r="777" spans="1:4">
      <c r="A777">
        <v>2024</v>
      </c>
      <c r="B777">
        <v>3</v>
      </c>
      <c r="C777">
        <v>14</v>
      </c>
      <c r="D777" s="1">
        <v>60</v>
      </c>
    </row>
    <row r="778" spans="1:4">
      <c r="A778">
        <v>2024</v>
      </c>
      <c r="B778">
        <v>3</v>
      </c>
      <c r="C778">
        <v>19</v>
      </c>
      <c r="D778" s="1">
        <v>0</v>
      </c>
    </row>
    <row r="779" spans="1:4">
      <c r="A779">
        <v>2024</v>
      </c>
      <c r="B779">
        <v>4</v>
      </c>
      <c r="C779">
        <v>21</v>
      </c>
      <c r="D779" s="1">
        <v>0</v>
      </c>
    </row>
    <row r="780" spans="1:4">
      <c r="A780">
        <v>2024</v>
      </c>
      <c r="B780">
        <v>4</v>
      </c>
      <c r="C780">
        <v>22</v>
      </c>
      <c r="D780" s="1">
        <v>270</v>
      </c>
    </row>
    <row r="781" spans="1:4">
      <c r="A781">
        <v>2024</v>
      </c>
      <c r="B781">
        <v>4</v>
      </c>
      <c r="C781">
        <v>23</v>
      </c>
      <c r="D781" s="1">
        <v>510</v>
      </c>
    </row>
    <row r="782" spans="1:4">
      <c r="A782">
        <v>2024</v>
      </c>
      <c r="B782">
        <v>4</v>
      </c>
      <c r="C782">
        <v>24</v>
      </c>
      <c r="D782" s="1">
        <v>210</v>
      </c>
    </row>
    <row r="783" spans="1:4">
      <c r="A783">
        <v>2024</v>
      </c>
      <c r="B783">
        <v>4</v>
      </c>
      <c r="C783">
        <v>26</v>
      </c>
      <c r="D783" s="1">
        <v>225</v>
      </c>
    </row>
    <row r="784" spans="1:4">
      <c r="A784">
        <v>2024</v>
      </c>
      <c r="B784">
        <v>4</v>
      </c>
      <c r="C784">
        <v>27</v>
      </c>
      <c r="D784" s="1">
        <v>735</v>
      </c>
    </row>
    <row r="785" spans="1:4">
      <c r="A785">
        <v>2024</v>
      </c>
      <c r="B785">
        <v>4</v>
      </c>
      <c r="C785">
        <v>28</v>
      </c>
      <c r="D785" s="1">
        <v>885</v>
      </c>
    </row>
    <row r="786" spans="1:4">
      <c r="A786">
        <v>2024</v>
      </c>
      <c r="B786">
        <v>4</v>
      </c>
      <c r="C786">
        <v>29</v>
      </c>
      <c r="D786" s="1">
        <v>705</v>
      </c>
    </row>
    <row r="787" spans="1:4">
      <c r="A787">
        <v>2024</v>
      </c>
      <c r="B787">
        <v>4</v>
      </c>
      <c r="C787">
        <v>30</v>
      </c>
      <c r="D787" s="1">
        <v>840</v>
      </c>
    </row>
    <row r="788" spans="1:4">
      <c r="A788">
        <v>2024</v>
      </c>
      <c r="B788">
        <v>5</v>
      </c>
      <c r="C788">
        <v>1</v>
      </c>
      <c r="D788" s="1">
        <v>120</v>
      </c>
    </row>
    <row r="789" spans="1:4">
      <c r="A789">
        <v>2024</v>
      </c>
      <c r="B789">
        <v>5</v>
      </c>
      <c r="C789">
        <v>2</v>
      </c>
      <c r="D789" s="1">
        <v>2115</v>
      </c>
    </row>
    <row r="790" spans="1:4">
      <c r="A790">
        <v>2024</v>
      </c>
      <c r="B790">
        <v>5</v>
      </c>
      <c r="C790">
        <v>3</v>
      </c>
      <c r="D790" s="1">
        <v>825</v>
      </c>
    </row>
    <row r="791" spans="1:4">
      <c r="A791">
        <v>2024</v>
      </c>
      <c r="B791">
        <v>5</v>
      </c>
      <c r="C791">
        <v>4</v>
      </c>
      <c r="D791" s="1">
        <v>1290</v>
      </c>
    </row>
    <row r="792" spans="1:4">
      <c r="A792">
        <v>2024</v>
      </c>
      <c r="B792">
        <v>5</v>
      </c>
      <c r="C792">
        <v>5</v>
      </c>
      <c r="D792" s="1">
        <v>495</v>
      </c>
    </row>
    <row r="793" spans="1:4">
      <c r="A793">
        <v>2024</v>
      </c>
      <c r="B793">
        <v>5</v>
      </c>
      <c r="C793">
        <v>6</v>
      </c>
      <c r="D793" s="1">
        <v>1320</v>
      </c>
    </row>
    <row r="794" spans="1:4">
      <c r="A794">
        <v>2024</v>
      </c>
      <c r="B794">
        <v>5</v>
      </c>
      <c r="C794">
        <v>7</v>
      </c>
      <c r="D794" s="1">
        <v>1035</v>
      </c>
    </row>
    <row r="795" spans="1:4">
      <c r="A795">
        <v>2024</v>
      </c>
      <c r="B795">
        <v>5</v>
      </c>
      <c r="C795">
        <v>8</v>
      </c>
      <c r="D795" s="1">
        <v>1185</v>
      </c>
    </row>
    <row r="796" spans="1:4">
      <c r="A796">
        <v>2024</v>
      </c>
      <c r="B796">
        <v>5</v>
      </c>
      <c r="C796">
        <v>9</v>
      </c>
      <c r="D796" s="1">
        <v>1110</v>
      </c>
    </row>
    <row r="797" spans="1:4">
      <c r="A797">
        <v>2024</v>
      </c>
      <c r="B797">
        <v>5</v>
      </c>
      <c r="C797">
        <v>10</v>
      </c>
      <c r="D797" s="1">
        <v>735</v>
      </c>
    </row>
    <row r="798" spans="1:4">
      <c r="A798">
        <v>2024</v>
      </c>
      <c r="B798">
        <v>5</v>
      </c>
      <c r="C798">
        <v>11</v>
      </c>
      <c r="D798" s="1">
        <v>615</v>
      </c>
    </row>
    <row r="799" spans="1:4">
      <c r="A799">
        <v>2024</v>
      </c>
      <c r="B799">
        <v>5</v>
      </c>
      <c r="C799">
        <v>12</v>
      </c>
      <c r="D799" s="1">
        <v>885</v>
      </c>
    </row>
    <row r="800" spans="1:4">
      <c r="A800">
        <v>2024</v>
      </c>
      <c r="B800">
        <v>5</v>
      </c>
      <c r="C800">
        <v>13</v>
      </c>
      <c r="D800" s="1">
        <v>315</v>
      </c>
    </row>
    <row r="801" spans="1:4">
      <c r="A801">
        <v>2024</v>
      </c>
      <c r="B801">
        <v>5</v>
      </c>
      <c r="C801">
        <v>14</v>
      </c>
      <c r="D801" s="1">
        <v>1575</v>
      </c>
    </row>
    <row r="802" spans="1:4">
      <c r="A802">
        <v>2024</v>
      </c>
      <c r="B802">
        <v>5</v>
      </c>
      <c r="C802">
        <v>15</v>
      </c>
      <c r="D802" s="1">
        <v>540</v>
      </c>
    </row>
    <row r="803" spans="1:4">
      <c r="A803">
        <v>2024</v>
      </c>
      <c r="B803">
        <v>5</v>
      </c>
      <c r="C803">
        <v>16</v>
      </c>
      <c r="D803" s="1">
        <v>945</v>
      </c>
    </row>
    <row r="804" spans="1:4">
      <c r="A804">
        <v>2024</v>
      </c>
      <c r="B804">
        <v>5</v>
      </c>
      <c r="C804">
        <v>17</v>
      </c>
      <c r="D804" s="1">
        <v>495</v>
      </c>
    </row>
    <row r="805" spans="1:4">
      <c r="A805">
        <v>2024</v>
      </c>
      <c r="B805">
        <v>5</v>
      </c>
      <c r="C805">
        <v>18</v>
      </c>
      <c r="D805" s="1">
        <v>1890</v>
      </c>
    </row>
    <row r="806" spans="1:4">
      <c r="A806">
        <v>2024</v>
      </c>
      <c r="B806">
        <v>5</v>
      </c>
      <c r="C806">
        <v>19</v>
      </c>
      <c r="D806" s="1">
        <v>360</v>
      </c>
    </row>
    <row r="807" spans="1:4">
      <c r="A807">
        <v>2024</v>
      </c>
      <c r="B807">
        <v>5</v>
      </c>
      <c r="C807">
        <v>20</v>
      </c>
      <c r="D807" s="1">
        <v>360</v>
      </c>
    </row>
    <row r="808" spans="1:4">
      <c r="A808">
        <v>2024</v>
      </c>
      <c r="B808">
        <v>5</v>
      </c>
      <c r="C808">
        <v>21</v>
      </c>
      <c r="D808" s="1">
        <v>1230</v>
      </c>
    </row>
    <row r="809" spans="1:4">
      <c r="A809">
        <v>2024</v>
      </c>
      <c r="B809">
        <v>5</v>
      </c>
      <c r="C809">
        <v>22</v>
      </c>
      <c r="D809" s="1">
        <v>3450</v>
      </c>
    </row>
    <row r="810" spans="1:4">
      <c r="A810">
        <v>2024</v>
      </c>
      <c r="B810">
        <v>5</v>
      </c>
      <c r="C810">
        <v>23</v>
      </c>
      <c r="D810" s="1">
        <v>750</v>
      </c>
    </row>
    <row r="811" spans="1:4">
      <c r="A811">
        <v>2024</v>
      </c>
      <c r="B811">
        <v>5</v>
      </c>
      <c r="C811">
        <v>24</v>
      </c>
      <c r="D811" s="1">
        <v>105</v>
      </c>
    </row>
    <row r="812" spans="1:4">
      <c r="A812">
        <v>2024</v>
      </c>
      <c r="B812">
        <v>5</v>
      </c>
      <c r="C812">
        <v>25</v>
      </c>
      <c r="D812" s="1">
        <v>1155</v>
      </c>
    </row>
    <row r="813" spans="1:4">
      <c r="A813">
        <v>2024</v>
      </c>
      <c r="B813">
        <v>5</v>
      </c>
      <c r="C813">
        <v>26</v>
      </c>
      <c r="D813" s="1">
        <v>330</v>
      </c>
    </row>
    <row r="814" spans="1:4">
      <c r="A814">
        <v>2024</v>
      </c>
      <c r="B814">
        <v>5</v>
      </c>
      <c r="C814">
        <v>27</v>
      </c>
      <c r="D814" s="1">
        <v>1425</v>
      </c>
    </row>
    <row r="815" spans="1:4">
      <c r="A815">
        <v>2024</v>
      </c>
      <c r="B815">
        <v>5</v>
      </c>
      <c r="C815">
        <v>28</v>
      </c>
      <c r="D815" s="1">
        <v>645</v>
      </c>
    </row>
    <row r="816" spans="1:4">
      <c r="A816">
        <v>2024</v>
      </c>
      <c r="B816">
        <v>5</v>
      </c>
      <c r="C816">
        <v>29</v>
      </c>
      <c r="D816" s="1">
        <v>1095</v>
      </c>
    </row>
    <row r="817" spans="1:4">
      <c r="A817">
        <v>2024</v>
      </c>
      <c r="B817">
        <v>5</v>
      </c>
      <c r="C817">
        <v>30</v>
      </c>
      <c r="D817" s="1">
        <v>765</v>
      </c>
    </row>
    <row r="818" spans="1:4">
      <c r="A818">
        <v>2024</v>
      </c>
      <c r="B818">
        <v>5</v>
      </c>
      <c r="C818">
        <v>31</v>
      </c>
      <c r="D818" s="1">
        <v>1155</v>
      </c>
    </row>
    <row r="819" spans="1:4">
      <c r="A819">
        <v>2024</v>
      </c>
      <c r="B819">
        <v>6</v>
      </c>
      <c r="C819">
        <v>1</v>
      </c>
      <c r="D819" s="1">
        <v>1665</v>
      </c>
    </row>
    <row r="820" spans="1:4">
      <c r="A820">
        <v>2024</v>
      </c>
      <c r="B820">
        <v>6</v>
      </c>
      <c r="C820">
        <v>2</v>
      </c>
      <c r="D820" s="1">
        <v>240</v>
      </c>
    </row>
    <row r="821" spans="1:4">
      <c r="A821">
        <v>2024</v>
      </c>
      <c r="B821">
        <v>6</v>
      </c>
      <c r="C821">
        <v>3</v>
      </c>
      <c r="D821" s="1">
        <v>405</v>
      </c>
    </row>
    <row r="822" spans="1:4">
      <c r="A822">
        <v>2024</v>
      </c>
      <c r="B822">
        <v>6</v>
      </c>
      <c r="C822">
        <v>4</v>
      </c>
      <c r="D822" s="1">
        <v>345</v>
      </c>
    </row>
    <row r="823" spans="1:4">
      <c r="A823">
        <v>2024</v>
      </c>
      <c r="B823">
        <v>6</v>
      </c>
      <c r="C823">
        <v>5</v>
      </c>
      <c r="D823" s="1">
        <v>270</v>
      </c>
    </row>
    <row r="824" spans="1:4">
      <c r="A824">
        <v>2024</v>
      </c>
      <c r="B824">
        <v>6</v>
      </c>
      <c r="C824">
        <v>6</v>
      </c>
      <c r="D824" s="1">
        <v>1275</v>
      </c>
    </row>
    <row r="825" spans="1:4">
      <c r="A825">
        <v>2024</v>
      </c>
      <c r="B825">
        <v>6</v>
      </c>
      <c r="C825">
        <v>7</v>
      </c>
      <c r="D825" s="1">
        <v>300</v>
      </c>
    </row>
    <row r="826" spans="1:4">
      <c r="A826">
        <v>2024</v>
      </c>
      <c r="B826">
        <v>6</v>
      </c>
      <c r="C826">
        <v>8</v>
      </c>
      <c r="D826" s="1">
        <v>1905</v>
      </c>
    </row>
    <row r="827" spans="1:4">
      <c r="A827">
        <v>2024</v>
      </c>
      <c r="B827">
        <v>6</v>
      </c>
      <c r="C827">
        <v>9</v>
      </c>
      <c r="D827" s="1">
        <v>750</v>
      </c>
    </row>
    <row r="828" spans="1:4">
      <c r="A828">
        <v>2024</v>
      </c>
      <c r="B828">
        <v>6</v>
      </c>
      <c r="C828">
        <v>10</v>
      </c>
      <c r="D828" s="1">
        <v>465</v>
      </c>
    </row>
    <row r="829" spans="1:4">
      <c r="A829">
        <v>2024</v>
      </c>
      <c r="B829">
        <v>6</v>
      </c>
      <c r="C829">
        <v>11</v>
      </c>
      <c r="D829" s="1">
        <v>825</v>
      </c>
    </row>
    <row r="830" spans="1:4">
      <c r="A830">
        <v>2024</v>
      </c>
      <c r="B830">
        <v>6</v>
      </c>
      <c r="C830">
        <v>12</v>
      </c>
      <c r="D830" s="1">
        <v>750</v>
      </c>
    </row>
    <row r="831" spans="1:4">
      <c r="A831">
        <v>2024</v>
      </c>
      <c r="B831">
        <v>6</v>
      </c>
      <c r="C831">
        <v>13</v>
      </c>
      <c r="D831" s="1">
        <v>1605</v>
      </c>
    </row>
    <row r="832" spans="1:4">
      <c r="A832">
        <v>2024</v>
      </c>
      <c r="B832">
        <v>6</v>
      </c>
      <c r="C832">
        <v>14</v>
      </c>
      <c r="D832" s="1">
        <v>330</v>
      </c>
    </row>
    <row r="833" spans="1:4">
      <c r="A833">
        <v>2024</v>
      </c>
      <c r="B833">
        <v>6</v>
      </c>
      <c r="C833">
        <v>15</v>
      </c>
      <c r="D833" s="1">
        <v>0</v>
      </c>
    </row>
    <row r="834" spans="1:4">
      <c r="A834">
        <v>2024</v>
      </c>
      <c r="B834">
        <v>6</v>
      </c>
      <c r="C834">
        <v>16</v>
      </c>
      <c r="D834" s="1">
        <v>15</v>
      </c>
    </row>
    <row r="835" spans="1:4">
      <c r="A835">
        <v>2024</v>
      </c>
      <c r="B835">
        <v>6</v>
      </c>
      <c r="C835">
        <v>17</v>
      </c>
      <c r="D835" s="1">
        <v>195</v>
      </c>
    </row>
    <row r="836" spans="1:4">
      <c r="A836">
        <v>2024</v>
      </c>
      <c r="B836">
        <v>6</v>
      </c>
      <c r="C836">
        <v>18</v>
      </c>
      <c r="D836" s="1">
        <v>495</v>
      </c>
    </row>
    <row r="837" spans="1:4">
      <c r="A837">
        <v>2024</v>
      </c>
      <c r="B837">
        <v>6</v>
      </c>
      <c r="C837">
        <v>19</v>
      </c>
      <c r="D837" s="1">
        <v>450</v>
      </c>
    </row>
    <row r="838" spans="1:4">
      <c r="A838">
        <v>2024</v>
      </c>
      <c r="B838">
        <v>6</v>
      </c>
      <c r="C838">
        <v>20</v>
      </c>
      <c r="D838" s="1">
        <v>15</v>
      </c>
    </row>
    <row r="839" spans="1:4">
      <c r="A839">
        <v>2024</v>
      </c>
      <c r="B839">
        <v>6</v>
      </c>
      <c r="C839">
        <v>22</v>
      </c>
      <c r="D839" s="1">
        <v>900</v>
      </c>
    </row>
    <row r="840" spans="1:4">
      <c r="A840">
        <v>2024</v>
      </c>
      <c r="B840">
        <v>6</v>
      </c>
      <c r="C840">
        <v>23</v>
      </c>
      <c r="D840" s="1">
        <v>0</v>
      </c>
    </row>
    <row r="841" spans="1:4">
      <c r="A841">
        <v>2024</v>
      </c>
      <c r="B841">
        <v>6</v>
      </c>
      <c r="C841">
        <v>25</v>
      </c>
      <c r="D841" s="1">
        <v>180</v>
      </c>
    </row>
    <row r="842" spans="1:4">
      <c r="A842">
        <v>2024</v>
      </c>
      <c r="B842">
        <v>6</v>
      </c>
      <c r="C842">
        <v>26</v>
      </c>
      <c r="D842" s="1">
        <v>930</v>
      </c>
    </row>
    <row r="843" spans="1:4">
      <c r="A843">
        <v>2024</v>
      </c>
      <c r="B843">
        <v>6</v>
      </c>
      <c r="C843">
        <v>27</v>
      </c>
      <c r="D843" s="1">
        <v>390</v>
      </c>
    </row>
    <row r="844" spans="1:4">
      <c r="A844">
        <v>2024</v>
      </c>
      <c r="B844">
        <v>6</v>
      </c>
      <c r="C844">
        <v>28</v>
      </c>
      <c r="D844" s="1">
        <v>840</v>
      </c>
    </row>
    <row r="845" spans="1:4">
      <c r="A845">
        <v>2024</v>
      </c>
      <c r="B845">
        <v>6</v>
      </c>
      <c r="C845">
        <v>29</v>
      </c>
      <c r="D845" s="1">
        <v>2355</v>
      </c>
    </row>
    <row r="846" spans="1:4">
      <c r="A846">
        <v>2024</v>
      </c>
      <c r="B846">
        <v>6</v>
      </c>
      <c r="C846">
        <v>30</v>
      </c>
      <c r="D846" s="1">
        <v>90</v>
      </c>
    </row>
    <row r="847" spans="1:4">
      <c r="A847">
        <v>2024</v>
      </c>
      <c r="B847">
        <v>7</v>
      </c>
      <c r="C847">
        <v>1</v>
      </c>
      <c r="D847" s="1">
        <v>1710</v>
      </c>
    </row>
    <row r="848" spans="1:4">
      <c r="A848">
        <v>2024</v>
      </c>
      <c r="B848">
        <v>7</v>
      </c>
      <c r="C848">
        <v>2</v>
      </c>
      <c r="D848" s="1">
        <v>870</v>
      </c>
    </row>
    <row r="849" spans="1:4">
      <c r="A849">
        <v>2024</v>
      </c>
      <c r="B849">
        <v>7</v>
      </c>
      <c r="C849">
        <v>3</v>
      </c>
      <c r="D849" s="1">
        <v>1095</v>
      </c>
    </row>
    <row r="850" spans="1:4">
      <c r="A850">
        <v>2024</v>
      </c>
      <c r="B850">
        <v>7</v>
      </c>
      <c r="C850">
        <v>4</v>
      </c>
      <c r="D850" s="1">
        <v>525</v>
      </c>
    </row>
    <row r="851" spans="1:4">
      <c r="A851">
        <v>2024</v>
      </c>
      <c r="B851">
        <v>7</v>
      </c>
      <c r="C851">
        <v>5</v>
      </c>
      <c r="D851" s="1">
        <v>900</v>
      </c>
    </row>
    <row r="852" spans="1:4">
      <c r="A852">
        <v>2024</v>
      </c>
      <c r="B852">
        <v>7</v>
      </c>
      <c r="C852">
        <v>6</v>
      </c>
      <c r="D852" s="1">
        <v>1245</v>
      </c>
    </row>
    <row r="853" spans="1:4">
      <c r="A853">
        <v>2024</v>
      </c>
      <c r="B853">
        <v>7</v>
      </c>
      <c r="C853">
        <v>7</v>
      </c>
      <c r="D853" s="1">
        <v>210</v>
      </c>
    </row>
    <row r="854" spans="1:4">
      <c r="A854">
        <v>2024</v>
      </c>
      <c r="B854">
        <v>7</v>
      </c>
      <c r="C854">
        <v>8</v>
      </c>
      <c r="D854" s="1">
        <v>255</v>
      </c>
    </row>
    <row r="855" spans="1:4">
      <c r="A855">
        <v>2024</v>
      </c>
      <c r="B855">
        <v>7</v>
      </c>
      <c r="C855">
        <v>9</v>
      </c>
      <c r="D855" s="1">
        <v>675</v>
      </c>
    </row>
    <row r="856" spans="1:4">
      <c r="A856">
        <v>2024</v>
      </c>
      <c r="B856">
        <v>7</v>
      </c>
      <c r="C856">
        <v>10</v>
      </c>
      <c r="D856" s="1">
        <v>525</v>
      </c>
    </row>
    <row r="857" spans="1:4">
      <c r="A857">
        <v>2024</v>
      </c>
      <c r="B857">
        <v>7</v>
      </c>
      <c r="C857">
        <v>12</v>
      </c>
      <c r="D857" s="1">
        <v>0</v>
      </c>
    </row>
    <row r="858" spans="1:4">
      <c r="A858">
        <v>2024</v>
      </c>
      <c r="B858">
        <v>7</v>
      </c>
      <c r="C858">
        <v>13</v>
      </c>
      <c r="D858" s="1">
        <v>1020</v>
      </c>
    </row>
    <row r="859" spans="1:4">
      <c r="A859">
        <v>2024</v>
      </c>
      <c r="B859">
        <v>7</v>
      </c>
      <c r="C859">
        <v>14</v>
      </c>
      <c r="D859" s="1">
        <v>720</v>
      </c>
    </row>
    <row r="860" spans="1:4">
      <c r="A860">
        <v>2024</v>
      </c>
      <c r="B860">
        <v>7</v>
      </c>
      <c r="C860">
        <v>15</v>
      </c>
      <c r="D860" s="1">
        <v>585</v>
      </c>
    </row>
    <row r="861" spans="1:4">
      <c r="A861">
        <v>2024</v>
      </c>
      <c r="B861">
        <v>7</v>
      </c>
      <c r="C861">
        <v>16</v>
      </c>
      <c r="D861" s="1">
        <v>210</v>
      </c>
    </row>
    <row r="862" spans="1:4">
      <c r="A862">
        <v>2024</v>
      </c>
      <c r="B862">
        <v>7</v>
      </c>
      <c r="C862">
        <v>17</v>
      </c>
      <c r="D862" s="1">
        <v>1095</v>
      </c>
    </row>
    <row r="863" spans="1:4">
      <c r="A863">
        <v>2024</v>
      </c>
      <c r="B863">
        <v>7</v>
      </c>
      <c r="C863">
        <v>18</v>
      </c>
      <c r="D863" s="1">
        <v>600</v>
      </c>
    </row>
    <row r="864" spans="1:4">
      <c r="A864">
        <v>2024</v>
      </c>
      <c r="B864">
        <v>7</v>
      </c>
      <c r="C864">
        <v>19</v>
      </c>
      <c r="D864" s="1">
        <v>1590</v>
      </c>
    </row>
    <row r="865" spans="1:4">
      <c r="A865">
        <v>2024</v>
      </c>
      <c r="B865">
        <v>7</v>
      </c>
      <c r="C865">
        <v>20</v>
      </c>
      <c r="D865" s="1">
        <v>1110</v>
      </c>
    </row>
    <row r="866" spans="1:4">
      <c r="A866">
        <v>2024</v>
      </c>
      <c r="B866">
        <v>7</v>
      </c>
      <c r="C866">
        <v>21</v>
      </c>
      <c r="D866" s="1">
        <v>540</v>
      </c>
    </row>
    <row r="867" spans="1:4">
      <c r="A867">
        <v>2024</v>
      </c>
      <c r="B867">
        <v>7</v>
      </c>
      <c r="C867">
        <v>22</v>
      </c>
      <c r="D867" s="1">
        <v>810</v>
      </c>
    </row>
    <row r="868" spans="1:4">
      <c r="A868">
        <v>2024</v>
      </c>
      <c r="B868">
        <v>7</v>
      </c>
      <c r="C868">
        <v>23</v>
      </c>
      <c r="D868" s="1">
        <v>450</v>
      </c>
    </row>
    <row r="869" spans="1:4">
      <c r="A869">
        <v>2024</v>
      </c>
      <c r="B869">
        <v>7</v>
      </c>
      <c r="C869">
        <v>24</v>
      </c>
      <c r="D869" s="1">
        <v>1800</v>
      </c>
    </row>
    <row r="870" spans="1:4">
      <c r="A870">
        <v>2024</v>
      </c>
      <c r="B870">
        <v>7</v>
      </c>
      <c r="C870">
        <v>25</v>
      </c>
      <c r="D870" s="1">
        <v>390</v>
      </c>
    </row>
    <row r="871" spans="1:4">
      <c r="A871">
        <v>2024</v>
      </c>
      <c r="B871">
        <v>7</v>
      </c>
      <c r="C871">
        <v>26</v>
      </c>
      <c r="D871" s="1">
        <v>1965</v>
      </c>
    </row>
    <row r="872" spans="1:4">
      <c r="A872">
        <v>2024</v>
      </c>
      <c r="B872">
        <v>7</v>
      </c>
      <c r="C872">
        <v>27</v>
      </c>
      <c r="D872" s="1">
        <v>1200</v>
      </c>
    </row>
    <row r="873" spans="1:4">
      <c r="A873">
        <v>2024</v>
      </c>
      <c r="B873">
        <v>7</v>
      </c>
      <c r="C873">
        <v>28</v>
      </c>
      <c r="D873" s="1">
        <v>945</v>
      </c>
    </row>
    <row r="874" spans="1:4">
      <c r="A874">
        <v>2024</v>
      </c>
      <c r="B874">
        <v>7</v>
      </c>
      <c r="C874">
        <v>29</v>
      </c>
      <c r="D874" s="1">
        <v>1050</v>
      </c>
    </row>
    <row r="875" spans="1:4">
      <c r="A875">
        <v>2024</v>
      </c>
      <c r="B875">
        <v>7</v>
      </c>
      <c r="C875">
        <v>30</v>
      </c>
      <c r="D875" s="1">
        <v>450</v>
      </c>
    </row>
    <row r="876" spans="1:4">
      <c r="A876">
        <v>2024</v>
      </c>
      <c r="B876">
        <v>7</v>
      </c>
      <c r="C876">
        <v>31</v>
      </c>
      <c r="D876" s="1">
        <v>975</v>
      </c>
    </row>
    <row r="877" spans="1:4">
      <c r="A877">
        <v>2024</v>
      </c>
      <c r="B877">
        <v>8</v>
      </c>
      <c r="C877">
        <v>1</v>
      </c>
      <c r="D877" s="1">
        <v>0</v>
      </c>
    </row>
  </sheetData>
  <sheetCalcPr fullCalcOnLoad="1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5" sqref="A5"/>
    </sheetView>
  </sheetViews>
  <sheetFormatPr defaultColWidth="9.14285714285714" defaultRowHeight="15" outlineLevelRow="3"/>
  <cols>
    <col min="1" max="1" width="28.4285714285714" customWidth="1"/>
  </cols>
  <sheetData>
    <row r="1" spans="1:1">
      <c r="A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H25" sqref="H25"/>
    </sheetView>
  </sheetViews>
  <sheetFormatPr defaultColWidth="9.14285714285714" defaultRowHeight="15" outlineLevelRow="1"/>
  <sheetData>
    <row r="1" spans="1:1">
      <c r="A1" t="s">
        <v>27</v>
      </c>
    </row>
    <row r="2" spans="1:1">
      <c r="A2" t="s">
        <v>28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Hoja5</vt:lpstr>
      <vt:lpstr>resultados</vt:lpstr>
      <vt:lpstr>venta</vt:lpstr>
      <vt:lpstr>Falta</vt:lpstr>
      <vt:lpstr>Propuestas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</cp:lastModifiedBy>
  <dcterms:created xsi:type="dcterms:W3CDTF">2024-08-02T22:11:04Z</dcterms:created>
  <dcterms:modified xsi:type="dcterms:W3CDTF">2024-08-12T21:46:48Z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2058-12.2.0.17153</vt:lpwstr>
  </property>
  <property fmtid="{D5CDD505-2E9C-101B-9397-08002B2CF9AE}" pid="3" name="ICV">
    <vt:lpwstr>C6529A815E184E09964C87019BE323D5_13</vt:lpwstr>
  </property>
</Properties>
</file>